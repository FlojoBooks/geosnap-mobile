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riveletter-my.sharepoint.com/personal/danny_dejong_driveletter_nl/Documents/Bureaublad/geosnap/"/>
    </mc:Choice>
  </mc:AlternateContent>
  <xr:revisionPtr revIDLastSave="174" documentId="8_{0383AA34-35A5-403C-AD99-8ECB80773096}" xr6:coauthVersionLast="47" xr6:coauthVersionMax="47" xr10:uidLastSave="{6B67A354-EC79-4E7D-B8B5-33DF0E83608C}"/>
  <bookViews>
    <workbookView xWindow="28680" yWindow="-120" windowWidth="29040" windowHeight="15720" xr2:uid="{00000000-000D-0000-FFFF-FFFF00000000}"/>
  </bookViews>
  <sheets>
    <sheet name="Prijzenboek Eigen Haard" sheetId="34" r:id="rId1"/>
    <sheet name="Tabel import" sheetId="35" r:id="rId2"/>
  </sheets>
  <definedNames>
    <definedName name="_xlnm.Print_Area" localSheetId="0">'Prijzenboek Eigen Haard'!$A$7:$E$307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11" i="34" l="1"/>
  <c r="E314" i="34" s="1"/>
  <c r="D304" i="34" l="1"/>
  <c r="D305" i="34" s="1"/>
  <c r="D300" i="34"/>
  <c r="D261" i="34"/>
  <c r="D265" i="34"/>
  <c r="D257" i="34"/>
  <c r="D276" i="34"/>
  <c r="D277" i="34" s="1"/>
  <c r="D281" i="34"/>
  <c r="D252" i="34"/>
  <c r="D45" i="34"/>
  <c r="D39" i="34"/>
  <c r="D34" i="34"/>
  <c r="D25" i="34"/>
  <c r="D30" i="34"/>
  <c r="D21" i="34"/>
  <c r="D301" i="34"/>
  <c r="D297" i="34"/>
  <c r="D296" i="34"/>
  <c r="D292" i="34"/>
  <c r="D288" i="34"/>
  <c r="D287" i="34"/>
  <c r="D283" i="34"/>
  <c r="D282" i="34"/>
  <c r="D273" i="34"/>
  <c r="D266" i="34"/>
  <c r="D262" i="34"/>
  <c r="D254" i="34"/>
  <c r="D253" i="34"/>
  <c r="D31" i="34"/>
  <c r="D27" i="34"/>
  <c r="D26" i="34"/>
  <c r="D22" i="34"/>
  <c r="D278" i="34" l="1"/>
  <c r="D258" i="34"/>
  <c r="E245" i="34" l="1"/>
  <c r="E244" i="34"/>
  <c r="E243" i="34"/>
  <c r="E242" i="34"/>
  <c r="E239" i="34"/>
  <c r="E238" i="34"/>
  <c r="E237" i="34"/>
  <c r="E236" i="34"/>
  <c r="E233" i="34"/>
  <c r="E232" i="34"/>
  <c r="E231" i="34"/>
  <c r="E230" i="34"/>
  <c r="E227" i="34"/>
  <c r="E226" i="34"/>
  <c r="E225" i="34"/>
  <c r="E224" i="34"/>
  <c r="E221" i="34"/>
  <c r="E220" i="34"/>
  <c r="E219" i="34"/>
  <c r="E218" i="34"/>
  <c r="E215" i="34"/>
  <c r="E214" i="34"/>
  <c r="E213" i="34"/>
  <c r="E212" i="34"/>
  <c r="E209" i="34"/>
  <c r="E208" i="34"/>
  <c r="E207" i="34"/>
  <c r="E206" i="34"/>
  <c r="E203" i="34"/>
  <c r="E202" i="34"/>
  <c r="E201" i="34"/>
  <c r="E200" i="34"/>
  <c r="E197" i="34"/>
  <c r="E196" i="34"/>
  <c r="E195" i="34"/>
  <c r="E194" i="34"/>
  <c r="E191" i="34"/>
  <c r="E190" i="34"/>
  <c r="E189" i="34"/>
  <c r="E188" i="34"/>
  <c r="E185" i="34"/>
  <c r="E184" i="34"/>
  <c r="E183" i="34"/>
  <c r="E182" i="34"/>
  <c r="E179" i="34"/>
  <c r="E178" i="34"/>
  <c r="E177" i="34"/>
  <c r="E176" i="34"/>
  <c r="E173" i="34"/>
  <c r="E172" i="34"/>
  <c r="E171" i="34"/>
  <c r="E170" i="34"/>
  <c r="E167" i="34"/>
  <c r="E166" i="34"/>
  <c r="E165" i="34"/>
  <c r="E164" i="34"/>
  <c r="E161" i="34"/>
  <c r="E160" i="34"/>
  <c r="E159" i="34"/>
  <c r="E158" i="34"/>
  <c r="E155" i="34"/>
  <c r="E154" i="34"/>
  <c r="E153" i="34"/>
  <c r="E152" i="34"/>
  <c r="E149" i="34"/>
  <c r="E148" i="34"/>
  <c r="E147" i="34"/>
  <c r="E146" i="34"/>
  <c r="E143" i="34"/>
  <c r="E142" i="34"/>
  <c r="E141" i="34"/>
  <c r="E140" i="34"/>
  <c r="E137" i="34"/>
  <c r="E136" i="34"/>
  <c r="E135" i="34"/>
  <c r="E134" i="34"/>
  <c r="E131" i="34"/>
  <c r="E130" i="34"/>
  <c r="E129" i="34"/>
  <c r="E128" i="34"/>
  <c r="E125" i="34"/>
  <c r="E124" i="34"/>
  <c r="E123" i="34"/>
  <c r="E122" i="34"/>
  <c r="E119" i="34"/>
  <c r="E118" i="34"/>
  <c r="E117" i="34"/>
  <c r="E116" i="34"/>
  <c r="E113" i="34"/>
  <c r="E112" i="34"/>
  <c r="E111" i="34"/>
  <c r="E110" i="34"/>
  <c r="E107" i="34"/>
  <c r="E106" i="34"/>
  <c r="E105" i="34"/>
  <c r="E104" i="34"/>
  <c r="E101" i="34"/>
  <c r="E100" i="34"/>
  <c r="E99" i="34"/>
  <c r="E98" i="34"/>
  <c r="E95" i="34"/>
  <c r="E94" i="34"/>
  <c r="E93" i="34"/>
  <c r="E92" i="34"/>
  <c r="E89" i="34"/>
  <c r="E88" i="34"/>
  <c r="E87" i="34"/>
  <c r="E86" i="34"/>
  <c r="E83" i="34"/>
  <c r="E82" i="34"/>
  <c r="E81" i="34"/>
  <c r="E80" i="34"/>
  <c r="E77" i="34"/>
  <c r="E76" i="34"/>
  <c r="E75" i="34"/>
  <c r="E74" i="34"/>
  <c r="E71" i="34"/>
  <c r="E70" i="34"/>
  <c r="E69" i="34"/>
  <c r="E68" i="34"/>
  <c r="E65" i="34"/>
  <c r="E64" i="34"/>
  <c r="E63" i="34"/>
  <c r="E62" i="34"/>
  <c r="E305" i="34" l="1"/>
  <c r="E304" i="34"/>
  <c r="E301" i="34"/>
  <c r="E300" i="34"/>
  <c r="E266" i="34" l="1"/>
  <c r="E265" i="34"/>
  <c r="E254" i="34" l="1"/>
  <c r="E253" i="34"/>
  <c r="E252" i="34"/>
  <c r="E292" i="34"/>
  <c r="E297" i="34"/>
  <c r="E296" i="34"/>
  <c r="E295" i="34"/>
  <c r="E273" i="34"/>
  <c r="E272" i="34"/>
  <c r="E269" i="34"/>
  <c r="E262" i="34"/>
  <c r="E261" i="34"/>
  <c r="E258" i="34"/>
  <c r="E257" i="34"/>
  <c r="E59" i="34"/>
  <c r="E58" i="34"/>
  <c r="E57" i="34"/>
  <c r="E56" i="34"/>
  <c r="E30" i="34"/>
  <c r="E21" i="34"/>
  <c r="E45" i="34"/>
  <c r="E39" i="34"/>
  <c r="E34" i="34"/>
  <c r="E31" i="34"/>
  <c r="E27" i="34"/>
  <c r="E26" i="34"/>
  <c r="E25" i="34"/>
  <c r="E22" i="34"/>
</calcChain>
</file>

<file path=xl/sharedStrings.xml><?xml version="1.0" encoding="utf-8"?>
<sst xmlns="http://schemas.openxmlformats.org/spreadsheetml/2006/main" count="378" uniqueCount="161">
  <si>
    <t>Firma</t>
  </si>
  <si>
    <t>Adres</t>
  </si>
  <si>
    <t>Postcode</t>
  </si>
  <si>
    <t>Referentie Alphatron</t>
  </si>
  <si>
    <t>Omschrijving</t>
  </si>
  <si>
    <t>Aantal</t>
  </si>
  <si>
    <t>Totaalprijs</t>
  </si>
  <si>
    <t>Korting</t>
  </si>
  <si>
    <t>Offertedatum</t>
  </si>
  <si>
    <t>Prijs p/s</t>
  </si>
  <si>
    <t>Plaats</t>
  </si>
  <si>
    <t>1.1 HANWA FIXED DOME VARIFOCAL, TYPE ANV-L6082R (STANDAARD CAMERA)</t>
  </si>
  <si>
    <t>Hanwha, type ANV-L6082R</t>
  </si>
  <si>
    <t>Arbeid</t>
  </si>
  <si>
    <t>1.10 en 1.11 HANWHA WANDBEUGEL INCLUSIEF ADAPTER T.B.V. ANV-L6082R</t>
  </si>
  <si>
    <t>Hanwha wandbeugel, type SBP300WMW1</t>
  </si>
  <si>
    <t>Hanwha adapter tussen camera en wandbeugel, type SBP-301HMW2</t>
  </si>
  <si>
    <t>1.2 HANWA DOME FIXED LENS, TYPE QND-6011 (LIFT CAMERA)</t>
  </si>
  <si>
    <t>Hanwha, type QND-6011</t>
  </si>
  <si>
    <t>1.3 IP OVER COAX CONVERTER SET</t>
  </si>
  <si>
    <t>Hardware, bestaande uit:</t>
  </si>
  <si>
    <t>ABS Montagebox</t>
  </si>
  <si>
    <t>Montage en klein materiaal</t>
  </si>
  <si>
    <t>Arbeid, bestaande uit:</t>
  </si>
  <si>
    <t>Assembleren converter in ABS montagebox</t>
  </si>
  <si>
    <t>Monteren, aansluiten, testen en inbedrijfstellen</t>
  </si>
  <si>
    <t>Reiskosten</t>
  </si>
  <si>
    <t>1.4 OVERNEMEN BESTAANDE IP CAMERA OP NIEUW SYSTEEM</t>
  </si>
  <si>
    <t>Implementeren bestaande camera in (1) ERP en (2) 24/7 Monitoring systeem</t>
  </si>
  <si>
    <t>Configureren bestaande IP camera</t>
  </si>
  <si>
    <t xml:space="preserve">Toevoegen en configureren camera in VMS </t>
  </si>
  <si>
    <t>1. CAMERAZIJDE</t>
  </si>
  <si>
    <t>3. VMS / CENTRALE APPARATUUR</t>
  </si>
  <si>
    <t>Hanwa WAVE, type WAVE-PRO-01/EU</t>
  </si>
  <si>
    <t>2. BEKABELING (PER 10 METER)</t>
  </si>
  <si>
    <r>
      <t xml:space="preserve">2.1 UTP kabel, aanleg in aanwezige kabelgoot, </t>
    </r>
    <r>
      <rPr>
        <b/>
        <u/>
        <sz val="10"/>
        <rFont val="Calibri"/>
        <family val="2"/>
        <scheme val="minor"/>
      </rPr>
      <t>per 10 meter</t>
    </r>
    <r>
      <rPr>
        <b/>
        <sz val="10"/>
        <rFont val="Calibri"/>
        <family val="2"/>
        <scheme val="minor"/>
      </rPr>
      <t>, inclusief afmontage</t>
    </r>
  </si>
  <si>
    <r>
      <t xml:space="preserve">2.2 UTP kabel, aanleg opbouw, </t>
    </r>
    <r>
      <rPr>
        <b/>
        <u/>
        <sz val="10"/>
        <rFont val="Calibri"/>
        <family val="2"/>
        <scheme val="minor"/>
      </rPr>
      <t>per 10 meter</t>
    </r>
    <r>
      <rPr>
        <b/>
        <sz val="10"/>
        <rFont val="Calibri"/>
        <family val="2"/>
        <scheme val="minor"/>
      </rPr>
      <t>, inclusief afmontage in kunststof goot P25</t>
    </r>
  </si>
  <si>
    <r>
      <t xml:space="preserve">2.3 UTP kabel, aanleg opbouw, </t>
    </r>
    <r>
      <rPr>
        <b/>
        <u/>
        <sz val="10"/>
        <rFont val="Calibri"/>
        <family val="2"/>
        <scheme val="minor"/>
      </rPr>
      <t>per 10 meter</t>
    </r>
    <r>
      <rPr>
        <b/>
        <sz val="10"/>
        <rFont val="Calibri"/>
        <family val="2"/>
        <scheme val="minor"/>
      </rPr>
      <t>, inclusief afmontage in 20mm thermisch verzinkte buis</t>
    </r>
  </si>
  <si>
    <r>
      <t xml:space="preserve">2.4 UTP kabel, aanleg opbouw, </t>
    </r>
    <r>
      <rPr>
        <b/>
        <u/>
        <sz val="10"/>
        <rFont val="Calibri"/>
        <family val="2"/>
        <scheme val="minor"/>
      </rPr>
      <t>per 10 meter</t>
    </r>
    <r>
      <rPr>
        <b/>
        <sz val="10"/>
        <rFont val="Calibri"/>
        <family val="2"/>
        <scheme val="minor"/>
      </rPr>
      <t>, inclusief afmontage in 16mm hostaliet buis</t>
    </r>
  </si>
  <si>
    <t>Deurcontact</t>
  </si>
  <si>
    <t>Klein materiaal</t>
  </si>
  <si>
    <t>19" UPS 1500VA</t>
  </si>
  <si>
    <t>Hanwha Wave, micro opnameserver, extra compact, incl. 1 TB opslag</t>
  </si>
  <si>
    <t>Hanwha Wave 8-kanaals server incl. PoE+ en 1TB opslag</t>
  </si>
  <si>
    <t>Hanwha Wave 16-kanaals server incl. PoE+ en 2TB opslag</t>
  </si>
  <si>
    <t>AS Ethernet over Coax extenderset, PoE, 10/100Mbps, 12VDC, type 2200.0017</t>
  </si>
  <si>
    <t>Teltonika Managed netwerkswitch, 8x10/100/1000 poorten, PoE+</t>
  </si>
  <si>
    <t/>
  </si>
  <si>
    <t>Hard- en software</t>
  </si>
  <si>
    <t>TP-Link Managed netwerkswitch,  24x10/1001000 poorten, 19" rackmontage, PoE+, type TL-SG2428MP</t>
  </si>
  <si>
    <t>Algemene kosten</t>
  </si>
  <si>
    <t>Hardware</t>
  </si>
  <si>
    <t>Teltonika Industriele Ethernet to 4G LTE IoT gateway, type TRB140</t>
  </si>
  <si>
    <t>4G LTE Antenne t.b.v. beter bereik</t>
  </si>
  <si>
    <t>3.1 MIRCO SERVER 4 CAMERA'S INCL. 2 CAMERALICENTIES</t>
  </si>
  <si>
    <t>3.2 STORAGE SERVER 8 CAMERA'S INCL. 4 CAMERALICENTIES</t>
  </si>
  <si>
    <t>3.3 STORAGE SERVER 16 CAMERA'S INCL. 8 CAMERALICENTIES</t>
  </si>
  <si>
    <t>3.4 STORAGE SERVER 32 CAMERA'S INCL. 16 CAMERALICENTIES</t>
  </si>
  <si>
    <t>3.5 Extra camera licenties t.b.v. server</t>
  </si>
  <si>
    <t>3.6 UPS</t>
  </si>
  <si>
    <t>3.7 SWITCH POE 24 KANALEN, BESTAANDE UIT:</t>
  </si>
  <si>
    <t>3.9 SWITCH POE 8 KANALEN, BESTAANDE UIT:</t>
  </si>
  <si>
    <t>3.10 4G ROUTER</t>
  </si>
  <si>
    <t>3.11 4G ROUTER ANTENNE</t>
  </si>
  <si>
    <t>3.12 SIGNALERING DEUR 19" KAST GEOPEND</t>
  </si>
  <si>
    <t>19" serverkast</t>
  </si>
  <si>
    <t>19" serverkast verticaal 2U</t>
  </si>
  <si>
    <t>3.13 19" SERVERKAST 7U, BESTAANDE UIT:</t>
  </si>
  <si>
    <t>3.14 19" SERVERKAST 2U compact bij beperkt ruimte, BESTAANDE UIT:</t>
  </si>
  <si>
    <t>Amsterdam</t>
  </si>
  <si>
    <t>Eig-0417.mvdb</t>
  </si>
  <si>
    <t>CAMERA 01</t>
  </si>
  <si>
    <t>CAMERA 02</t>
  </si>
  <si>
    <t>CAMERA 03</t>
  </si>
  <si>
    <t>CAMERA 04</t>
  </si>
  <si>
    <t>CAMERA 05</t>
  </si>
  <si>
    <t>CAMERA 06</t>
  </si>
  <si>
    <t>CAMERA 07</t>
  </si>
  <si>
    <t>CAMERA 08</t>
  </si>
  <si>
    <t>CAMERA 09</t>
  </si>
  <si>
    <t>CAMERA 10</t>
  </si>
  <si>
    <t>CAMERA 11</t>
  </si>
  <si>
    <t>CAMERA 12</t>
  </si>
  <si>
    <t>CAMERA 13</t>
  </si>
  <si>
    <t>CAMERA 14</t>
  </si>
  <si>
    <t>CAMERA 15</t>
  </si>
  <si>
    <t>CAMERA 16</t>
  </si>
  <si>
    <t>CAMERA 17</t>
  </si>
  <si>
    <t>CAMERA 18</t>
  </si>
  <si>
    <t>CAMERA 19</t>
  </si>
  <si>
    <t>CAMERA 20</t>
  </si>
  <si>
    <t>CAMERA 21</t>
  </si>
  <si>
    <t>CAMERA 22</t>
  </si>
  <si>
    <t>CAMERA 23</t>
  </si>
  <si>
    <t>CAMERA 24</t>
  </si>
  <si>
    <t>CAMERA 25</t>
  </si>
  <si>
    <t>CAMERA 26</t>
  </si>
  <si>
    <t>CAMERA 27</t>
  </si>
  <si>
    <t>CAMERA 28</t>
  </si>
  <si>
    <t>CAMERA 29</t>
  </si>
  <si>
    <t>CAMERA 30</t>
  </si>
  <si>
    <t>CAMERA 31</t>
  </si>
  <si>
    <t>CAMERA 32</t>
  </si>
  <si>
    <t>Totaal bedrag excl. BTW in EURO</t>
  </si>
  <si>
    <t>Netto totaal bedrag excl. BTW in EURO</t>
  </si>
  <si>
    <t>Camera's</t>
  </si>
  <si>
    <t>6082 Dome</t>
  </si>
  <si>
    <t>6011 Dome</t>
  </si>
  <si>
    <t>Accesoires</t>
  </si>
  <si>
    <t>IP over COAX</t>
  </si>
  <si>
    <t>Hanwha backbox</t>
  </si>
  <si>
    <t>Hanwha wandbeugel</t>
  </si>
  <si>
    <t>Recorder</t>
  </si>
  <si>
    <t>8 kanaals</t>
  </si>
  <si>
    <t>16 kanaals</t>
  </si>
  <si>
    <t>32 kanaals*</t>
  </si>
  <si>
    <t>*Bij het selecteren van de 32 kanaals recorder wordt automatisch een 24 poorts switch geselecteerd</t>
  </si>
  <si>
    <t>(nu echt)</t>
  </si>
  <si>
    <t>Switches</t>
  </si>
  <si>
    <t>8 poorts</t>
  </si>
  <si>
    <t>16 poorts</t>
  </si>
  <si>
    <t>24 poorts</t>
  </si>
  <si>
    <t>Behuizing</t>
  </si>
  <si>
    <t>Serverkast (groot)</t>
  </si>
  <si>
    <t>Subswitchkast</t>
  </si>
  <si>
    <t>Bekabeling x10 meter</t>
  </si>
  <si>
    <t>Hostalliet (16)</t>
  </si>
  <si>
    <t>Aanwezige goot</t>
  </si>
  <si>
    <t>Staal</t>
  </si>
  <si>
    <t>Liftkabel p/m*</t>
  </si>
  <si>
    <t>Camera 01</t>
  </si>
  <si>
    <t>Camera 02</t>
  </si>
  <si>
    <t>Camera 03</t>
  </si>
  <si>
    <t>Camera 04</t>
  </si>
  <si>
    <t>Camera 05</t>
  </si>
  <si>
    <t>Camera 06</t>
  </si>
  <si>
    <t>Camera 07</t>
  </si>
  <si>
    <t>Camera 08</t>
  </si>
  <si>
    <t>Camera 09</t>
  </si>
  <si>
    <t>Camera 10</t>
  </si>
  <si>
    <t>Camera 11</t>
  </si>
  <si>
    <t>Camera 12</t>
  </si>
  <si>
    <t>Camera 13</t>
  </si>
  <si>
    <t>Camera 14</t>
  </si>
  <si>
    <t>Camera 15</t>
  </si>
  <si>
    <t>Camera 16</t>
  </si>
  <si>
    <t>Camera 17</t>
  </si>
  <si>
    <t>Camera 18</t>
  </si>
  <si>
    <t>Camera 19</t>
  </si>
  <si>
    <t>Camera 20</t>
  </si>
  <si>
    <t>Algemeen*</t>
  </si>
  <si>
    <t>*Schouwprijs wordt automatisch meegenomen a.d.h.v. Het aantal camera's</t>
  </si>
  <si>
    <t>Instructie admin gebruiker</t>
  </si>
  <si>
    <t>Instructie gewone gebruiker</t>
  </si>
  <si>
    <t xml:space="preserve">Demontage en duurzaam afvoeren </t>
  </si>
  <si>
    <t>Afstemmingsoverleg</t>
  </si>
  <si>
    <t>Kunstof P25</t>
  </si>
  <si>
    <t>Overnemen IP-camera</t>
  </si>
  <si>
    <t>4 kanaals</t>
  </si>
  <si>
    <t>Eigenhaard</t>
  </si>
  <si>
    <t>Kramatweg 28a - 29d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</si>
</sst>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(* #,##0.00_);_(* \(#,##0.00\);_(* &quot;-&quot;??_);_(@_)"/>
    <numFmt numFmtId="165" formatCode="#,##0.00_ ;[Red]\-#,##0.00\ "/>
    <numFmt numFmtId="166" formatCode="0.0%"/>
    <numFmt numFmtId="167" formatCode="0.0"/>
    <numFmt numFmtId="168" formatCode="_(&quot;€&quot;* #,##0.00_);_(&quot;€&quot;* \(#,##0.00\);_(&quot;€&quot;* &quot;-&quot;??_);_(@_)"/>
    <numFmt numFmtId="169" formatCode="_-* #,##0.00_-;_-* #,##0.00\-;_-* &quot;-&quot;??_-;_-@_-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b/>
      <sz val="11"/>
      <name val="Calibri"/>
      <family val="2"/>
      <scheme val="minor"/>
    </font>
    <font>
      <i/>
      <sz val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E50126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</cellStyleXfs>
  <cellXfs count="84">
    <xf numFmtId="0" fontId="0" fillId="0" borderId="0" xfId="0"/>
    <xf numFmtId="0" fontId="6" fillId="0" borderId="0" xfId="0" applyFont="1" applyAlignment="1" applyProtection="1">
      <alignment wrapText="1"/>
      <protection locked="0"/>
    </xf>
    <xf numFmtId="0" fontId="6" fillId="0" borderId="0" xfId="0" applyFont="1" applyAlignment="1" applyProtection="1">
      <alignment horizontal="right"/>
      <protection locked="0"/>
    </xf>
    <xf numFmtId="0" fontId="4" fillId="0" borderId="0" xfId="2" applyFont="1" applyAlignment="1" applyProtection="1">
      <alignment horizontal="left"/>
      <protection locked="0"/>
    </xf>
    <xf numFmtId="0" fontId="4" fillId="0" borderId="0" xfId="2" applyFont="1" applyProtection="1">
      <protection locked="0"/>
    </xf>
    <xf numFmtId="14" fontId="4" fillId="0" borderId="0" xfId="2" applyNumberFormat="1" applyFont="1" applyAlignment="1" applyProtection="1">
      <alignment horizontal="left"/>
      <protection locked="0"/>
    </xf>
    <xf numFmtId="0" fontId="4" fillId="0" borderId="0" xfId="0" applyFont="1" applyAlignment="1" applyProtection="1">
      <alignment wrapText="1"/>
      <protection locked="0"/>
    </xf>
    <xf numFmtId="0" fontId="4" fillId="0" borderId="0" xfId="0" applyFont="1" applyAlignment="1" applyProtection="1">
      <alignment horizontal="right"/>
      <protection locked="0"/>
    </xf>
    <xf numFmtId="165" fontId="4" fillId="0" borderId="0" xfId="0" applyNumberFormat="1" applyFont="1" applyProtection="1">
      <protection locked="0"/>
    </xf>
    <xf numFmtId="9" fontId="4" fillId="0" borderId="0" xfId="0" applyNumberFormat="1" applyFont="1" applyProtection="1">
      <protection locked="0"/>
    </xf>
    <xf numFmtId="0" fontId="4" fillId="0" borderId="0" xfId="0" applyFont="1" applyProtection="1">
      <protection locked="0"/>
    </xf>
    <xf numFmtId="0" fontId="3" fillId="0" borderId="0" xfId="0" applyFont="1" applyAlignment="1" applyProtection="1">
      <alignment wrapText="1"/>
      <protection locked="0"/>
    </xf>
    <xf numFmtId="164" fontId="4" fillId="0" borderId="0" xfId="0" applyNumberFormat="1" applyFont="1" applyAlignment="1" applyProtection="1">
      <alignment wrapText="1"/>
      <protection locked="0"/>
    </xf>
    <xf numFmtId="0" fontId="4" fillId="0" borderId="0" xfId="0" applyFont="1" applyAlignment="1">
      <alignment horizontal="left" wrapText="1"/>
    </xf>
    <xf numFmtId="4" fontId="4" fillId="0" borderId="0" xfId="0" applyNumberFormat="1" applyFont="1" applyAlignment="1">
      <alignment horizontal="right"/>
    </xf>
    <xf numFmtId="9" fontId="4" fillId="0" borderId="0" xfId="0" applyNumberFormat="1" applyFont="1" applyAlignment="1">
      <alignment horizontal="right"/>
    </xf>
    <xf numFmtId="1" fontId="4" fillId="0" borderId="0" xfId="0" applyNumberFormat="1" applyFont="1" applyAlignment="1">
      <alignment horizontal="right"/>
    </xf>
    <xf numFmtId="0" fontId="4" fillId="0" borderId="0" xfId="0" applyFont="1"/>
    <xf numFmtId="0" fontId="7" fillId="0" borderId="0" xfId="2" applyFont="1" applyAlignment="1" applyProtection="1">
      <alignment wrapText="1"/>
      <protection locked="0"/>
    </xf>
    <xf numFmtId="164" fontId="10" fillId="0" borderId="0" xfId="2" applyNumberFormat="1" applyFont="1" applyProtection="1">
      <protection locked="0"/>
    </xf>
    <xf numFmtId="164" fontId="9" fillId="0" borderId="0" xfId="2" applyNumberFormat="1" applyFont="1" applyAlignment="1" applyProtection="1">
      <alignment horizontal="center" vertical="center" wrapText="1"/>
      <protection locked="0"/>
    </xf>
    <xf numFmtId="9" fontId="10" fillId="0" borderId="0" xfId="2" applyNumberFormat="1" applyFont="1" applyProtection="1">
      <protection locked="0"/>
    </xf>
    <xf numFmtId="0" fontId="8" fillId="0" borderId="0" xfId="0" applyFont="1" applyProtection="1">
      <protection locked="0"/>
    </xf>
    <xf numFmtId="0" fontId="3" fillId="0" borderId="0" xfId="2" applyFont="1" applyAlignment="1" applyProtection="1">
      <alignment wrapText="1"/>
      <protection locked="0"/>
    </xf>
    <xf numFmtId="164" fontId="4" fillId="0" borderId="0" xfId="2" applyNumberFormat="1" applyFont="1" applyProtection="1">
      <protection locked="0"/>
    </xf>
    <xf numFmtId="0" fontId="4" fillId="0" borderId="0" xfId="2" applyFont="1" applyAlignment="1" applyProtection="1">
      <alignment horizontal="right"/>
      <protection locked="0"/>
    </xf>
    <xf numFmtId="0" fontId="6" fillId="0" borderId="0" xfId="0" applyFont="1" applyProtection="1">
      <protection locked="0"/>
    </xf>
    <xf numFmtId="0" fontId="5" fillId="2" borderId="0" xfId="2" applyFont="1" applyFill="1" applyAlignment="1" applyProtection="1">
      <alignment wrapText="1"/>
      <protection locked="0"/>
    </xf>
    <xf numFmtId="0" fontId="5" fillId="2" borderId="0" xfId="2" applyFont="1" applyFill="1" applyAlignment="1" applyProtection="1">
      <alignment horizontal="right"/>
      <protection locked="0"/>
    </xf>
    <xf numFmtId="0" fontId="11" fillId="0" borderId="0" xfId="0" applyFont="1" applyProtection="1">
      <protection locked="0"/>
    </xf>
    <xf numFmtId="9" fontId="5" fillId="2" borderId="0" xfId="2" applyNumberFormat="1" applyFont="1" applyFill="1" applyProtection="1">
      <protection locked="0"/>
    </xf>
    <xf numFmtId="164" fontId="6" fillId="0" borderId="0" xfId="0" applyNumberFormat="1" applyFont="1" applyProtection="1">
      <protection locked="0"/>
    </xf>
    <xf numFmtId="0" fontId="3" fillId="0" borderId="0" xfId="0" applyFont="1" applyAlignment="1">
      <alignment horizontal="left" wrapText="1"/>
    </xf>
    <xf numFmtId="0" fontId="4" fillId="0" borderId="0" xfId="0" applyFont="1" applyAlignment="1">
      <alignment wrapText="1"/>
    </xf>
    <xf numFmtId="0" fontId="4" fillId="0" borderId="0" xfId="1" applyNumberFormat="1" applyFont="1" applyFill="1" applyBorder="1" applyAlignment="1" applyProtection="1">
      <protection locked="0"/>
    </xf>
    <xf numFmtId="166" fontId="4" fillId="0" borderId="0" xfId="0" applyNumberFormat="1" applyFont="1" applyAlignment="1">
      <alignment horizontal="right"/>
    </xf>
    <xf numFmtId="0" fontId="12" fillId="0" borderId="0" xfId="0" applyFont="1" applyAlignment="1" applyProtection="1">
      <alignment wrapText="1"/>
      <protection locked="0"/>
    </xf>
    <xf numFmtId="165" fontId="4" fillId="0" borderId="0" xfId="0" applyNumberFormat="1" applyFont="1" applyAlignment="1" applyProtection="1">
      <alignment wrapText="1"/>
      <protection locked="0"/>
    </xf>
    <xf numFmtId="0" fontId="12" fillId="3" borderId="0" xfId="0" applyFont="1" applyFill="1" applyAlignment="1" applyProtection="1">
      <alignment wrapText="1"/>
      <protection locked="0"/>
    </xf>
    <xf numFmtId="4" fontId="13" fillId="0" borderId="0" xfId="0" applyNumberFormat="1" applyFont="1" applyAlignment="1">
      <alignment horizontal="right"/>
    </xf>
    <xf numFmtId="1" fontId="13" fillId="0" borderId="0" xfId="0" applyNumberFormat="1" applyFont="1" applyAlignment="1">
      <alignment horizontal="right"/>
    </xf>
    <xf numFmtId="165" fontId="13" fillId="0" borderId="0" xfId="0" applyNumberFormat="1" applyFont="1" applyAlignment="1">
      <alignment wrapText="1"/>
    </xf>
    <xf numFmtId="0" fontId="13" fillId="0" borderId="0" xfId="0" applyFont="1" applyAlignment="1">
      <alignment horizontal="right"/>
    </xf>
    <xf numFmtId="0" fontId="3" fillId="0" borderId="0" xfId="0" applyFont="1" applyAlignment="1">
      <alignment wrapText="1"/>
    </xf>
    <xf numFmtId="9" fontId="4" fillId="0" borderId="0" xfId="2" applyNumberFormat="1" applyFont="1" applyProtection="1">
      <protection locked="0"/>
    </xf>
    <xf numFmtId="9" fontId="5" fillId="2" borderId="0" xfId="2" applyNumberFormat="1" applyFont="1" applyFill="1" applyAlignment="1" applyProtection="1">
      <alignment horizontal="right"/>
      <protection locked="0"/>
    </xf>
    <xf numFmtId="9" fontId="4" fillId="0" borderId="0" xfId="0" quotePrefix="1" applyNumberFormat="1" applyFont="1" applyProtection="1">
      <protection locked="0"/>
    </xf>
    <xf numFmtId="9" fontId="13" fillId="0" borderId="0" xfId="0" applyNumberFormat="1" applyFont="1" applyAlignment="1">
      <alignment horizontal="right"/>
    </xf>
    <xf numFmtId="9" fontId="13" fillId="0" borderId="0" xfId="0" applyNumberFormat="1" applyFont="1"/>
    <xf numFmtId="9" fontId="6" fillId="0" borderId="0" xfId="0" applyNumberFormat="1" applyFont="1" applyProtection="1">
      <protection locked="0"/>
    </xf>
    <xf numFmtId="167" fontId="10" fillId="0" borderId="0" xfId="2" applyNumberFormat="1" applyFont="1" applyAlignment="1" applyProtection="1">
      <alignment horizontal="right"/>
      <protection locked="0"/>
    </xf>
    <xf numFmtId="167" fontId="4" fillId="0" borderId="0" xfId="2" applyNumberFormat="1" applyFont="1" applyAlignment="1" applyProtection="1">
      <alignment horizontal="right"/>
      <protection locked="0"/>
    </xf>
    <xf numFmtId="10" fontId="4" fillId="0" borderId="0" xfId="0" applyNumberFormat="1" applyFont="1" applyProtection="1">
      <protection locked="0"/>
    </xf>
    <xf numFmtId="164" fontId="4" fillId="0" borderId="0" xfId="0" applyNumberFormat="1" applyFont="1" applyProtection="1">
      <protection locked="0"/>
    </xf>
    <xf numFmtId="0" fontId="4" fillId="0" borderId="0" xfId="0" applyFont="1" applyAlignment="1" applyProtection="1">
      <alignment horizontal="center"/>
      <protection locked="0"/>
    </xf>
    <xf numFmtId="168" fontId="4" fillId="0" borderId="0" xfId="0" applyNumberFormat="1" applyFont="1" applyProtection="1">
      <protection locked="0"/>
    </xf>
    <xf numFmtId="0" fontId="14" fillId="0" borderId="0" xfId="0" applyFont="1" applyAlignment="1" applyProtection="1">
      <alignment wrapText="1"/>
      <protection locked="0"/>
    </xf>
    <xf numFmtId="169" fontId="14" fillId="0" borderId="0" xfId="0" applyNumberFormat="1" applyFont="1" applyProtection="1">
      <protection locked="0"/>
    </xf>
    <xf numFmtId="9" fontId="14" fillId="0" borderId="0" xfId="0" applyNumberFormat="1" applyFont="1" applyProtection="1">
      <protection locked="0"/>
    </xf>
    <xf numFmtId="164" fontId="14" fillId="0" borderId="0" xfId="0" applyNumberFormat="1" applyFont="1" applyAlignment="1" applyProtection="1">
      <alignment wrapText="1"/>
      <protection locked="0"/>
    </xf>
    <xf numFmtId="10" fontId="14" fillId="0" borderId="0" xfId="0" applyNumberFormat="1" applyFont="1" applyProtection="1">
      <protection locked="0"/>
    </xf>
    <xf numFmtId="0" fontId="14" fillId="0" borderId="0" xfId="0" applyFont="1" applyAlignment="1" applyProtection="1">
      <alignment horizontal="right"/>
      <protection locked="0"/>
    </xf>
    <xf numFmtId="169" fontId="14" fillId="0" borderId="0" xfId="0" applyNumberFormat="1" applyFont="1" applyAlignment="1" applyProtection="1">
      <alignment horizontal="right" wrapText="1"/>
      <protection locked="0"/>
    </xf>
    <xf numFmtId="0" fontId="14" fillId="0" borderId="0" xfId="0" applyFont="1" applyAlignment="1" applyProtection="1">
      <alignment horizontal="center"/>
      <protection locked="0"/>
    </xf>
    <xf numFmtId="0" fontId="14" fillId="0" borderId="0" xfId="0" applyFont="1" applyProtection="1">
      <protection locked="0"/>
    </xf>
    <xf numFmtId="168" fontId="14" fillId="0" borderId="0" xfId="0" applyNumberFormat="1" applyFont="1" applyProtection="1">
      <protection locked="0"/>
    </xf>
    <xf numFmtId="0" fontId="14" fillId="0" borderId="1" xfId="0" applyFont="1" applyBorder="1" applyAlignment="1" applyProtection="1">
      <alignment wrapText="1"/>
      <protection locked="0"/>
    </xf>
    <xf numFmtId="10" fontId="14" fillId="0" borderId="1" xfId="0" applyNumberFormat="1" applyFont="1" applyBorder="1" applyProtection="1">
      <protection locked="0"/>
    </xf>
    <xf numFmtId="9" fontId="14" fillId="0" borderId="1" xfId="0" applyNumberFormat="1" applyFont="1" applyBorder="1" applyProtection="1">
      <protection locked="0"/>
    </xf>
    <xf numFmtId="164" fontId="14" fillId="0" borderId="1" xfId="0" applyNumberFormat="1" applyFont="1" applyBorder="1" applyAlignment="1" applyProtection="1">
      <alignment wrapText="1"/>
      <protection locked="0"/>
    </xf>
    <xf numFmtId="10" fontId="7" fillId="0" borderId="1" xfId="0" applyNumberFormat="1" applyFont="1" applyBorder="1" applyAlignment="1" applyProtection="1">
      <alignment horizontal="right"/>
      <protection locked="0"/>
    </xf>
    <xf numFmtId="169" fontId="14" fillId="0" borderId="1" xfId="0" applyNumberFormat="1" applyFont="1" applyBorder="1" applyAlignment="1" applyProtection="1">
      <alignment horizontal="right" wrapText="1"/>
      <protection locked="0"/>
    </xf>
    <xf numFmtId="169" fontId="14" fillId="0" borderId="0" xfId="0" applyNumberFormat="1" applyFont="1" applyAlignment="1">
      <alignment horizontal="right" wrapText="1"/>
    </xf>
    <xf numFmtId="10" fontId="15" fillId="0" borderId="0" xfId="0" applyNumberFormat="1" applyFont="1"/>
    <xf numFmtId="0" fontId="15" fillId="0" borderId="0" xfId="0" applyFont="1" applyProtection="1">
      <protection locked="0"/>
    </xf>
    <xf numFmtId="169" fontId="15" fillId="0" borderId="0" xfId="0" applyNumberFormat="1" applyFont="1"/>
    <xf numFmtId="164" fontId="15" fillId="0" borderId="0" xfId="0" applyNumberFormat="1" applyFont="1" applyAlignment="1" applyProtection="1">
      <alignment wrapText="1"/>
      <protection locked="0"/>
    </xf>
    <xf numFmtId="10" fontId="15" fillId="0" borderId="0" xfId="0" applyNumberFormat="1" applyFont="1" applyProtection="1">
      <protection locked="0"/>
    </xf>
    <xf numFmtId="0" fontId="15" fillId="0" borderId="0" xfId="0" applyFont="1" applyAlignment="1" applyProtection="1">
      <alignment horizontal="right"/>
      <protection locked="0"/>
    </xf>
    <xf numFmtId="0" fontId="15" fillId="0" borderId="0" xfId="0" applyFont="1" applyAlignment="1" applyProtection="1">
      <alignment horizontal="center"/>
      <protection locked="0"/>
    </xf>
    <xf numFmtId="168" fontId="15" fillId="0" borderId="0" xfId="0" applyNumberFormat="1" applyFont="1" applyProtection="1">
      <protection locked="0"/>
    </xf>
    <xf numFmtId="0" fontId="17" fillId="0" borderId="0" xfId="0" applyFont="1"/>
    <xf numFmtId="0" fontId="16" fillId="0" borderId="0" xfId="0" applyFont="1"/>
    <xf numFmtId="0" fontId="7" fillId="0" borderId="0" xfId="0" applyFont="1"/>
  </cellXfs>
  <cellStyles count="4">
    <cellStyle name="Hyperlink" xfId="1" builtinId="8"/>
    <cellStyle name="Normal" xfId="0" builtinId="0"/>
    <cellStyle name="Standaard 2" xfId="3" xr:uid="{18FF4BC2-1DFE-4BAA-B814-821B96CA00FE}"/>
    <cellStyle name="Standaard 4" xfId="2" xr:uid="{00000000-0005-0000-0000-000002000000}"/>
  </cellStyles>
  <dxfs count="11"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>
          <bgColor rgb="FFE5012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hair">
          <color auto="1"/>
        </vertical>
        <horizontal style="hair">
          <color auto="1"/>
        </horizontal>
      </border>
    </dxf>
  </dxfs>
  <tableStyles count="1" defaultTableStyle="TableStyleMedium2" defaultPivotStyle="PivotStyleLight16">
    <tableStyle name="Tabelstijl 1" pivot="0" count="3" xr9:uid="{00000000-0011-0000-FFFF-FFFF00000000}">
      <tableStyleElement type="wholeTable" dxfId="10"/>
      <tableStyleElement type="headerRow" dxfId="9"/>
      <tableStyleElement type="totalRow" dxfId="8"/>
    </tableStyle>
  </tableStyles>
  <colors>
    <mruColors>
      <color rgb="FFFF0000"/>
      <color rgb="FFE50126"/>
      <color rgb="FFE50525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447675</xdr:colOff>
      <xdr:row>0</xdr:row>
      <xdr:rowOff>160020</xdr:rowOff>
    </xdr:from>
    <xdr:to>
      <xdr:col>4</xdr:col>
      <xdr:colOff>981287</xdr:colOff>
      <xdr:row>4</xdr:row>
      <xdr:rowOff>36222</xdr:rowOff>
    </xdr:to>
    <xdr:pic>
      <xdr:nvPicPr>
        <xdr:cNvPr id="4" name="Afbeelding 3" descr="Alphatron Security RGB 72.jpg">
          <a:extLst>
            <a:ext uri="{FF2B5EF4-FFF2-40B4-BE49-F238E27FC236}">
              <a16:creationId xmlns:a16="http://schemas.microsoft.com/office/drawing/2014/main" id="{2BC254D8-F6E7-4D9F-AE10-73BDA0C711CF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075170" y="161925"/>
          <a:ext cx="1592792" cy="598197"/>
        </a:xfrm>
        <a:prstGeom prst="rect">
          <a:avLst/>
        </a:prstGeom>
      </xdr:spPr>
    </xdr:pic>
    <xdr:clientData/>
  </xdr:twoCellAnchor>
  <xdr:twoCellAnchor editAs="oneCell">
    <xdr:from>
      <xdr:col>0</xdr:col>
      <xdr:colOff>347870</xdr:colOff>
      <xdr:row>0</xdr:row>
      <xdr:rowOff>2568</xdr:rowOff>
    </xdr:from>
    <xdr:to>
      <xdr:col>0</xdr:col>
      <xdr:colOff>1507435</xdr:colOff>
      <xdr:row>3</xdr:row>
      <xdr:rowOff>169180</xdr:rowOff>
    </xdr:to>
    <xdr:pic>
      <xdr:nvPicPr>
        <xdr:cNvPr id="2" name="Afbeelding 1" descr="Eigen Haard woningcorporatie Amsterdam - Eigen Haard">
          <a:extLst>
            <a:ext uri="{FF2B5EF4-FFF2-40B4-BE49-F238E27FC236}">
              <a16:creationId xmlns:a16="http://schemas.microsoft.com/office/drawing/2014/main" id="{3D58648B-19D8-057A-1B1A-8B98FF256D8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662" b="20592"/>
        <a:stretch>
          <a:fillRect/>
        </a:stretch>
      </xdr:blipFill>
      <xdr:spPr bwMode="auto">
        <a:xfrm>
          <a:off x="347870" y="2568"/>
          <a:ext cx="1163375" cy="717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A84DAD-BDC7-4478-96C9-23EF9525AC67}" name="Table2" displayName="Table2" ref="A2:B5" totalsRowShown="0" headerRowDxfId="7">
  <autoFilter ref="A2:B5" xr:uid="{E1A84DAD-BDC7-4478-96C9-23EF9525AC67}"/>
  <tableColumns count="2">
    <tableColumn id="1" xr3:uid="{8A4E30E0-718E-47A6-A6A2-6931986EECAD}" name="Camera's"/>
    <tableColumn id="2" xr3:uid="{EFB46EC2-1DA7-4B74-A835-EBFBB48B43D0}" name="Aantal"/>
  </tableColumns>
  <tableStyleInfo name="Tabelstijl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23AACEE-A44A-48C1-840E-9D65297F3FAF}" name="Table3" displayName="Table3" ref="A7:B10" totalsRowShown="0" headerRowDxfId="6">
  <autoFilter ref="A7:B10" xr:uid="{923AACEE-A44A-48C1-840E-9D65297F3FAF}"/>
  <tableColumns count="2">
    <tableColumn id="1" xr3:uid="{95BDE354-BBC0-4170-B25F-DF6A841738D2}" name="Accesoires"/>
    <tableColumn id="2" xr3:uid="{B554DE4B-BC5A-4037-A009-47C7BF4A9C17}" name="Aantal"/>
  </tableColumns>
  <tableStyleInfo name="Tabelstijl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283E6A3-376B-4A50-B1B1-6D8149611EB1}" name="Table4" displayName="Table4" ref="A12:B17" totalsRowShown="0" headerRowDxfId="5">
  <autoFilter ref="A12:B17" xr:uid="{A283E6A3-376B-4A50-B1B1-6D8149611EB1}"/>
  <tableColumns count="2">
    <tableColumn id="1" xr3:uid="{CE904799-A6BC-44FF-AB81-C222D0F3F5D3}" name="Recorder"/>
    <tableColumn id="2" xr3:uid="{FC60FA7A-9D8D-436E-ADCF-8F20A3AE0DEF}" name="Aantal"/>
  </tableColumns>
  <tableStyleInfo name="Tabelstijl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00065F3-E485-4417-8EF8-3479726A5DA1}" name="Table6" displayName="Table6" ref="A18:B21" totalsRowShown="0" headerRowDxfId="4">
  <autoFilter ref="A18:B21" xr:uid="{B00065F3-E485-4417-8EF8-3479726A5DA1}"/>
  <tableColumns count="2">
    <tableColumn id="1" xr3:uid="{005FCFE9-B58D-4644-853C-A063CD0C3546}" name="Switches"/>
    <tableColumn id="2" xr3:uid="{AEF73B2E-5B62-4A9A-8516-8D2410AF1AA0}" name="Aantal" dataDxfId="3"/>
  </tableColumns>
  <tableStyleInfo name="Tabelstijl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ADC57A6-A4E2-42B3-852B-5BD12515FF9F}" name="Table7" displayName="Table7" ref="A23:B25" totalsRowShown="0" headerRowDxfId="2">
  <autoFilter ref="A23:B25" xr:uid="{2ADC57A6-A4E2-42B3-852B-5BD12515FF9F}"/>
  <tableColumns count="2">
    <tableColumn id="1" xr3:uid="{2CDC713A-B15A-4B16-8C73-14DEA2D56004}" name="Behuizing"/>
    <tableColumn id="2" xr3:uid="{0E2CE14E-5F35-4B70-9BE1-35BA37F62FBA}" name="Aantal"/>
  </tableColumns>
  <tableStyleInfo name="Tabelstijl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866351-9C18-499E-9189-C4EA1923840C}" name="Table8" displayName="Table8" ref="A27:F47" totalsRowShown="0" headerRowDxfId="1">
  <autoFilter ref="A27:F47" xr:uid="{1E866351-9C18-499E-9189-C4EA1923840C}"/>
  <tableColumns count="6">
    <tableColumn id="1" xr3:uid="{406A169D-7FC0-4F5E-BEF7-4B352065C3CB}" name="Bekabeling x10 meter"/>
    <tableColumn id="2" xr3:uid="{CD27AB51-6E60-46A2-B31F-D2CDBC24CDBD}" name="Hostalliet (16)"/>
    <tableColumn id="3" xr3:uid="{3153A589-9837-45A9-B60F-932D977C3F31}" name="Aanwezige goot"/>
    <tableColumn id="4" xr3:uid="{EC12418C-D090-4609-AA9E-DBED55EECC58}" name="Kunstof P25"/>
    <tableColumn id="5" xr3:uid="{1AA399E2-4B03-4CA9-AD51-51AB8CB782CA}" name="Staal"/>
    <tableColumn id="6" xr3:uid="{08342F52-E6D1-4387-B93F-420D111B32AB}" name="Liftkabel p/m*"/>
  </tableColumns>
  <tableStyleInfo name="Tabelstijl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886B50C-6921-4FFA-9A48-FFE0C9319C47}" name="Table9" displayName="Table9" ref="A49:B53" totalsRowShown="0" headerRowDxfId="0">
  <autoFilter ref="A49:B53" xr:uid="{C886B50C-6921-4FFA-9A48-FFE0C9319C47}"/>
  <tableColumns count="2">
    <tableColumn id="1" xr3:uid="{5CABA461-36EA-4DFA-8E59-20F84F500070}" name="Algemeen*"/>
    <tableColumn id="2" xr3:uid="{C55AEF06-54F4-43F5-989D-2D158F2ADE80}" name="Aantal"/>
  </tableColumns>
  <tableStyleInfo name="Tabelstijl 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6C969-60E4-4221-8E30-53D62D49576F}">
  <sheetPr codeName="Blad22"/>
  <dimension ref="A1:K317"/>
  <sheetViews>
    <sheetView tabSelected="1" zoomScale="85" zoomScaleNormal="85" zoomScalePageLayoutView="85" workbookViewId="0">
      <pane ySplit="4" topLeftCell="A277" activePane="bottomLeft" state="frozen"/>
      <selection pane="bottomLeft" activeCell="P311" sqref="P311"/>
    </sheetView>
  </sheetViews>
  <sheetFormatPr defaultColWidth="9.140625" defaultRowHeight="12.75" x14ac:dyDescent="0.2"/>
  <cols>
    <col min="1" max="1" width="81.85546875" style="1" customWidth="1"/>
    <col min="2" max="2" width="14.7109375" style="31" customWidth="1"/>
    <col min="3" max="3" width="8.7109375" style="49" customWidth="1"/>
    <col min="4" max="4" width="6.7109375" style="2" customWidth="1"/>
    <col min="5" max="5" width="14.7109375" style="31" customWidth="1"/>
    <col min="6" max="16384" width="9.140625" style="26"/>
  </cols>
  <sheetData>
    <row r="1" spans="1:5" s="22" customFormat="1" ht="15" x14ac:dyDescent="0.25">
      <c r="A1" s="18"/>
      <c r="B1" s="20"/>
      <c r="C1" s="21"/>
      <c r="D1" s="50"/>
      <c r="E1" s="19"/>
    </row>
    <row r="2" spans="1:5" s="22" customFormat="1" ht="15" x14ac:dyDescent="0.25">
      <c r="A2" s="18"/>
      <c r="B2" s="20"/>
      <c r="C2" s="21"/>
      <c r="D2" s="50"/>
      <c r="E2" s="19"/>
    </row>
    <row r="3" spans="1:5" s="22" customFormat="1" ht="15" x14ac:dyDescent="0.25">
      <c r="A3"/>
      <c r="B3" s="20"/>
      <c r="C3" s="21"/>
      <c r="D3" s="50"/>
      <c r="E3" s="19"/>
    </row>
    <row r="4" spans="1:5" s="22" customFormat="1" ht="15" x14ac:dyDescent="0.25">
      <c r="A4" s="18"/>
      <c r="B4" s="20"/>
      <c r="C4" s="21"/>
      <c r="D4" s="50"/>
      <c r="E4" s="19"/>
    </row>
    <row r="5" spans="1:5" s="22" customFormat="1" ht="15" x14ac:dyDescent="0.25">
      <c r="A5" s="18"/>
      <c r="B5" s="20"/>
      <c r="C5" s="21"/>
      <c r="D5" s="50"/>
      <c r="E5" s="19"/>
    </row>
    <row r="6" spans="1:5" s="22" customFormat="1" ht="15" x14ac:dyDescent="0.25">
      <c r="A6" s="18"/>
      <c r="B6" s="20"/>
      <c r="C6" s="21"/>
      <c r="D6" s="50"/>
      <c r="E6" s="19"/>
    </row>
    <row r="7" spans="1:5" x14ac:dyDescent="0.2">
      <c r="A7" s="23" t="s">
        <v>0</v>
      </c>
      <c r="B7" s="3" t="s">
        <v>159</v>
      </c>
      <c r="C7" s="44"/>
      <c r="D7" s="51"/>
      <c r="E7" s="24"/>
    </row>
    <row r="8" spans="1:5" x14ac:dyDescent="0.2">
      <c r="A8" s="23" t="s">
        <v>1</v>
      </c>
      <c r="B8" s="4" t="s">
        <v>160</v>
      </c>
      <c r="C8" s="44"/>
      <c r="D8" s="51"/>
      <c r="E8" s="24"/>
    </row>
    <row r="9" spans="1:5" x14ac:dyDescent="0.2">
      <c r="A9" s="23" t="s">
        <v>2</v>
      </c>
      <c r="B9" s="4"/>
      <c r="C9" s="44"/>
      <c r="D9" s="51"/>
      <c r="E9" s="24"/>
    </row>
    <row r="10" spans="1:5" x14ac:dyDescent="0.2">
      <c r="A10" s="23" t="s">
        <v>10</v>
      </c>
      <c r="B10" s="4" t="s">
        <v>69</v>
      </c>
      <c r="C10" s="44"/>
      <c r="D10" s="51"/>
      <c r="E10" s="24"/>
    </row>
    <row r="11" spans="1:5" x14ac:dyDescent="0.2">
      <c r="A11" s="23" t="s">
        <v>3</v>
      </c>
      <c r="B11" s="34" t="s">
        <v>70</v>
      </c>
      <c r="C11" s="44"/>
      <c r="D11" s="51"/>
      <c r="E11" s="24"/>
    </row>
    <row r="12" spans="1:5" x14ac:dyDescent="0.2">
      <c r="A12" s="23" t="s">
        <v>8</v>
      </c>
      <c r="B12" s="5">
        <v>46232</v>
      </c>
      <c r="C12" s="44"/>
      <c r="D12" s="51"/>
      <c r="E12" s="24"/>
    </row>
    <row r="13" spans="1:5" x14ac:dyDescent="0.2">
      <c r="A13" s="23"/>
      <c r="B13" s="24"/>
      <c r="C13" s="44"/>
      <c r="D13" s="25"/>
      <c r="E13" s="24"/>
    </row>
    <row r="14" spans="1:5" s="29" customFormat="1" x14ac:dyDescent="0.2">
      <c r="A14" s="27" t="s">
        <v>4</v>
      </c>
      <c r="B14" s="28" t="s">
        <v>9</v>
      </c>
      <c r="C14" s="45" t="s">
        <v>7</v>
      </c>
      <c r="D14" s="28" t="s">
        <v>5</v>
      </c>
      <c r="E14" s="28" t="s">
        <v>6</v>
      </c>
    </row>
    <row r="15" spans="1:5" s="10" customFormat="1" hidden="1" x14ac:dyDescent="0.2">
      <c r="A15" s="6"/>
      <c r="B15" s="8"/>
      <c r="C15" s="9"/>
      <c r="D15" s="7"/>
      <c r="E15" s="8"/>
    </row>
    <row r="16" spans="1:5" s="10" customFormat="1" x14ac:dyDescent="0.2">
      <c r="A16" s="13"/>
      <c r="B16" s="14"/>
      <c r="C16" s="15"/>
      <c r="D16" s="16"/>
      <c r="E16" s="14"/>
    </row>
    <row r="17" spans="1:5" s="10" customFormat="1" x14ac:dyDescent="0.2">
      <c r="A17" s="11" t="s">
        <v>31</v>
      </c>
      <c r="B17" s="8"/>
      <c r="C17" s="9"/>
      <c r="D17" s="7"/>
      <c r="E17" s="8"/>
    </row>
    <row r="18" spans="1:5" s="10" customFormat="1" ht="3" customHeight="1" x14ac:dyDescent="0.2">
      <c r="A18" s="27"/>
      <c r="B18" s="28"/>
      <c r="C18" s="30"/>
      <c r="D18" s="28"/>
      <c r="E18" s="28"/>
    </row>
    <row r="19" spans="1:5" s="10" customFormat="1" x14ac:dyDescent="0.2">
      <c r="A19" s="11"/>
      <c r="B19" s="8"/>
      <c r="C19" s="9"/>
      <c r="D19" s="7"/>
      <c r="E19" s="8"/>
    </row>
    <row r="20" spans="1:5" s="10" customFormat="1" x14ac:dyDescent="0.2">
      <c r="A20" s="36" t="s">
        <v>11</v>
      </c>
      <c r="B20" s="8"/>
      <c r="C20" s="9"/>
      <c r="D20" s="7"/>
      <c r="E20" s="8"/>
    </row>
    <row r="21" spans="1:5" s="17" customFormat="1" x14ac:dyDescent="0.2">
      <c r="A21" s="6" t="s">
        <v>12</v>
      </c>
      <c r="B21" s="14">
        <v>279.99999999999994</v>
      </c>
      <c r="C21" s="15">
        <v>0.35</v>
      </c>
      <c r="D21" s="16">
        <f>'Tabel import'!B3</f>
        <v>2</v>
      </c>
      <c r="E21" s="14">
        <f t="shared" ref="E21" si="0">((+B21*D21)*(1-C21))</f>
        <v>363.99999999999994</v>
      </c>
    </row>
    <row r="22" spans="1:5" s="17" customFormat="1" x14ac:dyDescent="0.2">
      <c r="A22" s="6" t="s">
        <v>13</v>
      </c>
      <c r="B22" s="14">
        <v>94.5</v>
      </c>
      <c r="C22" s="46"/>
      <c r="D22" s="16">
        <f>D21</f>
        <v>2</v>
      </c>
      <c r="E22" s="14">
        <f>((+B22*D22)*(1-C22))</f>
        <v>189</v>
      </c>
    </row>
    <row r="23" spans="1:5" s="10" customFormat="1" x14ac:dyDescent="0.2">
      <c r="A23" s="6"/>
      <c r="B23" s="37"/>
      <c r="C23" s="9"/>
      <c r="D23" s="7"/>
      <c r="E23" s="37"/>
    </row>
    <row r="24" spans="1:5" s="10" customFormat="1" x14ac:dyDescent="0.2">
      <c r="A24" s="11" t="s">
        <v>14</v>
      </c>
      <c r="B24" s="8"/>
      <c r="C24" s="9"/>
      <c r="D24" s="7"/>
      <c r="E24" s="8"/>
    </row>
    <row r="25" spans="1:5" s="17" customFormat="1" x14ac:dyDescent="0.2">
      <c r="A25" s="6" t="s">
        <v>15</v>
      </c>
      <c r="B25" s="14">
        <v>49.256</v>
      </c>
      <c r="C25" s="15">
        <v>0.35</v>
      </c>
      <c r="D25" s="16">
        <f>'Tabel import'!B10</f>
        <v>0</v>
      </c>
      <c r="E25" s="14">
        <f>((+B25*D25)*(1-C25))</f>
        <v>0</v>
      </c>
    </row>
    <row r="26" spans="1:5" s="17" customFormat="1" x14ac:dyDescent="0.2">
      <c r="A26" s="6" t="s">
        <v>16</v>
      </c>
      <c r="B26" s="14">
        <v>25.152000000000001</v>
      </c>
      <c r="C26" s="15">
        <v>0.35</v>
      </c>
      <c r="D26" s="16">
        <f>D25</f>
        <v>0</v>
      </c>
      <c r="E26" s="14">
        <f>((+B26*D26)*(1-C26))</f>
        <v>0</v>
      </c>
    </row>
    <row r="27" spans="1:5" s="17" customFormat="1" x14ac:dyDescent="0.2">
      <c r="A27" s="6" t="s">
        <v>13</v>
      </c>
      <c r="B27" s="14">
        <v>48</v>
      </c>
      <c r="C27" s="46"/>
      <c r="D27" s="16">
        <f>D25</f>
        <v>0</v>
      </c>
      <c r="E27" s="14">
        <f>((+B27*D27)*(1-C27))</f>
        <v>0</v>
      </c>
    </row>
    <row r="28" spans="1:5" s="10" customFormat="1" x14ac:dyDescent="0.2">
      <c r="A28" s="6"/>
      <c r="B28" s="37"/>
      <c r="C28" s="9"/>
      <c r="D28" s="7"/>
      <c r="E28" s="37"/>
    </row>
    <row r="29" spans="1:5" s="10" customFormat="1" x14ac:dyDescent="0.2">
      <c r="A29" s="36" t="s">
        <v>17</v>
      </c>
      <c r="B29" s="8"/>
      <c r="C29" s="9"/>
      <c r="D29" s="7"/>
      <c r="E29" s="8"/>
    </row>
    <row r="30" spans="1:5" s="17" customFormat="1" x14ac:dyDescent="0.2">
      <c r="A30" s="6" t="s">
        <v>18</v>
      </c>
      <c r="B30" s="14">
        <v>258</v>
      </c>
      <c r="C30" s="15">
        <v>0.35</v>
      </c>
      <c r="D30" s="16">
        <f>'Tabel import'!B4</f>
        <v>0</v>
      </c>
      <c r="E30" s="14">
        <f t="shared" ref="E30" si="1">((+B30*D30)*(1-C30))</f>
        <v>0</v>
      </c>
    </row>
    <row r="31" spans="1:5" s="17" customFormat="1" x14ac:dyDescent="0.2">
      <c r="A31" s="6" t="s">
        <v>13</v>
      </c>
      <c r="B31" s="14">
        <v>94.5</v>
      </c>
      <c r="C31" s="46"/>
      <c r="D31" s="16">
        <f>D30</f>
        <v>0</v>
      </c>
      <c r="E31" s="14">
        <f>((+B31*D31)*(1-C31))</f>
        <v>0</v>
      </c>
    </row>
    <row r="32" spans="1:5" s="10" customFormat="1" x14ac:dyDescent="0.2">
      <c r="A32" s="6"/>
      <c r="B32" s="37"/>
      <c r="C32" s="9"/>
      <c r="D32" s="7"/>
      <c r="E32" s="37"/>
    </row>
    <row r="33" spans="1:5" s="10" customFormat="1" x14ac:dyDescent="0.2">
      <c r="A33" s="38" t="s">
        <v>19</v>
      </c>
      <c r="B33" s="37"/>
      <c r="C33" s="9"/>
      <c r="D33" s="7"/>
      <c r="E33" s="37"/>
    </row>
    <row r="34" spans="1:5" s="10" customFormat="1" x14ac:dyDescent="0.2">
      <c r="A34" s="11" t="s">
        <v>20</v>
      </c>
      <c r="B34" s="14">
        <v>419.20000000000005</v>
      </c>
      <c r="C34" s="15">
        <v>0.2</v>
      </c>
      <c r="D34" s="16">
        <f>'Tabel import'!B8</f>
        <v>0</v>
      </c>
      <c r="E34" s="14">
        <f>((+B34*D34)*(1-C34))</f>
        <v>0</v>
      </c>
    </row>
    <row r="35" spans="1:5" s="17" customFormat="1" x14ac:dyDescent="0.2">
      <c r="A35" s="13" t="s">
        <v>45</v>
      </c>
      <c r="B35" s="39"/>
      <c r="C35" s="47"/>
      <c r="D35" s="40"/>
      <c r="E35" s="14"/>
    </row>
    <row r="36" spans="1:5" s="17" customFormat="1" x14ac:dyDescent="0.2">
      <c r="A36" s="13" t="s">
        <v>21</v>
      </c>
      <c r="B36" s="39"/>
      <c r="C36" s="47"/>
      <c r="D36" s="40"/>
      <c r="E36" s="14"/>
    </row>
    <row r="37" spans="1:5" s="17" customFormat="1" x14ac:dyDescent="0.2">
      <c r="A37" s="13" t="s">
        <v>22</v>
      </c>
      <c r="B37" s="39"/>
      <c r="C37" s="47"/>
      <c r="D37" s="40"/>
      <c r="E37" s="14"/>
    </row>
    <row r="38" spans="1:5" s="10" customFormat="1" x14ac:dyDescent="0.2">
      <c r="A38" s="6"/>
      <c r="B38" s="37"/>
      <c r="C38" s="9"/>
      <c r="D38" s="7"/>
      <c r="E38" s="37"/>
    </row>
    <row r="39" spans="1:5" s="10" customFormat="1" x14ac:dyDescent="0.2">
      <c r="A39" s="11" t="s">
        <v>23</v>
      </c>
      <c r="B39" s="14">
        <v>48</v>
      </c>
      <c r="C39" s="9"/>
      <c r="D39" s="16">
        <f>D34</f>
        <v>0</v>
      </c>
      <c r="E39" s="14">
        <f>((+B39*D39)*(1-C39))</f>
        <v>0</v>
      </c>
    </row>
    <row r="40" spans="1:5" s="10" customFormat="1" x14ac:dyDescent="0.2">
      <c r="A40" s="33" t="s">
        <v>24</v>
      </c>
      <c r="B40" s="41"/>
      <c r="C40" s="48"/>
      <c r="D40" s="42"/>
      <c r="E40" s="37"/>
    </row>
    <row r="41" spans="1:5" s="10" customFormat="1" x14ac:dyDescent="0.2">
      <c r="A41" s="33" t="s">
        <v>25</v>
      </c>
      <c r="B41" s="41"/>
      <c r="C41" s="48"/>
      <c r="D41" s="42"/>
      <c r="E41" s="37"/>
    </row>
    <row r="42" spans="1:5" s="6" customFormat="1" x14ac:dyDescent="0.2">
      <c r="A42" s="33" t="s">
        <v>26</v>
      </c>
      <c r="B42" s="41"/>
      <c r="C42" s="48"/>
      <c r="D42" s="42"/>
    </row>
    <row r="43" spans="1:5" s="10" customFormat="1" x14ac:dyDescent="0.2">
      <c r="A43" s="6"/>
      <c r="B43" s="37"/>
      <c r="C43" s="9"/>
      <c r="D43" s="7"/>
      <c r="E43" s="37"/>
    </row>
    <row r="44" spans="1:5" s="10" customFormat="1" x14ac:dyDescent="0.2">
      <c r="A44" s="36" t="s">
        <v>27</v>
      </c>
      <c r="B44" s="37"/>
      <c r="C44" s="9"/>
      <c r="D44" s="7"/>
      <c r="E44" s="37"/>
    </row>
    <row r="45" spans="1:5" s="10" customFormat="1" x14ac:dyDescent="0.2">
      <c r="A45" s="11" t="s">
        <v>23</v>
      </c>
      <c r="B45" s="14">
        <v>51.5</v>
      </c>
      <c r="C45" s="9"/>
      <c r="D45" s="16">
        <f>'Tabel import'!B5</f>
        <v>0</v>
      </c>
      <c r="E45" s="14">
        <f>((+B45*D45)*(1-C45))</f>
        <v>0</v>
      </c>
    </row>
    <row r="46" spans="1:5" s="10" customFormat="1" x14ac:dyDescent="0.2">
      <c r="A46" s="33" t="s">
        <v>28</v>
      </c>
      <c r="B46" s="41"/>
      <c r="C46" s="48"/>
      <c r="D46" s="42"/>
      <c r="E46" s="37"/>
    </row>
    <row r="47" spans="1:5" s="10" customFormat="1" x14ac:dyDescent="0.2">
      <c r="A47" s="33" t="s">
        <v>29</v>
      </c>
      <c r="B47" s="41"/>
      <c r="C47" s="48"/>
      <c r="D47" s="42"/>
      <c r="E47" s="37"/>
    </row>
    <row r="48" spans="1:5" s="10" customFormat="1" x14ac:dyDescent="0.2">
      <c r="A48" s="33" t="s">
        <v>30</v>
      </c>
      <c r="B48" s="41"/>
      <c r="C48" s="48"/>
      <c r="D48" s="42"/>
      <c r="E48" s="37"/>
    </row>
    <row r="49" spans="1:7" s="10" customFormat="1" x14ac:dyDescent="0.2">
      <c r="A49" s="33" t="s">
        <v>26</v>
      </c>
      <c r="B49" s="41"/>
      <c r="C49" s="48"/>
      <c r="D49" s="42"/>
      <c r="E49" s="37"/>
    </row>
    <row r="50" spans="1:7" s="10" customFormat="1" x14ac:dyDescent="0.2">
      <c r="A50" s="33"/>
      <c r="B50" s="41"/>
      <c r="C50" s="48"/>
      <c r="D50" s="42"/>
      <c r="E50" s="37"/>
    </row>
    <row r="51" spans="1:7" s="10" customFormat="1" x14ac:dyDescent="0.2">
      <c r="A51" s="33"/>
      <c r="B51" s="41"/>
      <c r="C51" s="48"/>
      <c r="D51" s="42"/>
      <c r="E51" s="37"/>
    </row>
    <row r="52" spans="1:7" s="10" customFormat="1" x14ac:dyDescent="0.2">
      <c r="A52" s="11" t="s">
        <v>34</v>
      </c>
      <c r="B52" s="8"/>
      <c r="C52" s="9"/>
      <c r="D52" s="7"/>
      <c r="E52" s="8"/>
    </row>
    <row r="53" spans="1:7" s="10" customFormat="1" ht="3" customHeight="1" x14ac:dyDescent="0.2">
      <c r="A53" s="27"/>
      <c r="B53" s="28"/>
      <c r="C53" s="30"/>
      <c r="D53" s="28"/>
      <c r="E53" s="28"/>
    </row>
    <row r="54" spans="1:7" s="10" customFormat="1" x14ac:dyDescent="0.2">
      <c r="A54" s="33"/>
      <c r="B54" s="41"/>
      <c r="C54" s="48"/>
      <c r="D54" s="42"/>
      <c r="E54" s="37"/>
    </row>
    <row r="55" spans="1:7" s="10" customFormat="1" x14ac:dyDescent="0.2">
      <c r="A55" s="43" t="s">
        <v>71</v>
      </c>
      <c r="B55" s="41"/>
      <c r="C55" s="48"/>
      <c r="D55" s="42"/>
      <c r="E55" s="37"/>
    </row>
    <row r="56" spans="1:7" s="17" customFormat="1" x14ac:dyDescent="0.2">
      <c r="A56" s="32" t="s">
        <v>35</v>
      </c>
      <c r="B56" s="14">
        <v>49</v>
      </c>
      <c r="C56" s="15"/>
      <c r="D56" s="16">
        <v>0</v>
      </c>
      <c r="E56" s="14">
        <f>((+B56*D56)*(1-C56))</f>
        <v>0</v>
      </c>
    </row>
    <row r="57" spans="1:7" s="17" customFormat="1" x14ac:dyDescent="0.2">
      <c r="A57" s="32" t="s">
        <v>36</v>
      </c>
      <c r="B57" s="14">
        <v>129</v>
      </c>
      <c r="C57" s="15"/>
      <c r="D57" s="16">
        <v>0</v>
      </c>
      <c r="E57" s="14">
        <f>((+B57*D57)*(1-C57))</f>
        <v>0</v>
      </c>
    </row>
    <row r="58" spans="1:7" s="17" customFormat="1" ht="13.9" customHeight="1" x14ac:dyDescent="0.2">
      <c r="A58" s="32" t="s">
        <v>37</v>
      </c>
      <c r="B58" s="14">
        <v>269</v>
      </c>
      <c r="C58" s="15"/>
      <c r="D58" s="16">
        <v>0</v>
      </c>
      <c r="E58" s="14">
        <f t="shared" ref="E58:E59" si="2">B58*D58</f>
        <v>0</v>
      </c>
    </row>
    <row r="59" spans="1:7" s="17" customFormat="1" x14ac:dyDescent="0.2">
      <c r="A59" s="32" t="s">
        <v>38</v>
      </c>
      <c r="B59" s="14">
        <v>132</v>
      </c>
      <c r="C59" s="15"/>
      <c r="D59" s="16">
        <v>0</v>
      </c>
      <c r="E59" s="14">
        <f t="shared" si="2"/>
        <v>0</v>
      </c>
    </row>
    <row r="60" spans="1:7" s="17" customFormat="1" x14ac:dyDescent="0.2">
      <c r="A60" s="32"/>
      <c r="B60" s="14"/>
      <c r="C60" s="15"/>
      <c r="D60" s="16" t="s">
        <v>47</v>
      </c>
      <c r="E60" s="14"/>
    </row>
    <row r="61" spans="1:7" s="10" customFormat="1" x14ac:dyDescent="0.2">
      <c r="A61" s="43" t="s">
        <v>72</v>
      </c>
      <c r="B61" s="41"/>
      <c r="C61" s="48"/>
      <c r="D61" s="42" t="s">
        <v>47</v>
      </c>
      <c r="E61" s="37"/>
      <c r="G61" s="17"/>
    </row>
    <row r="62" spans="1:7" s="17" customFormat="1" x14ac:dyDescent="0.2">
      <c r="A62" s="32" t="s">
        <v>35</v>
      </c>
      <c r="B62" s="14">
        <v>49</v>
      </c>
      <c r="C62" s="15"/>
      <c r="D62" s="16">
        <v>0</v>
      </c>
      <c r="E62" s="14">
        <f>((+B62*D62)*(1-C62))</f>
        <v>0</v>
      </c>
    </row>
    <row r="63" spans="1:7" s="17" customFormat="1" x14ac:dyDescent="0.2">
      <c r="A63" s="32" t="s">
        <v>36</v>
      </c>
      <c r="B63" s="14">
        <v>129</v>
      </c>
      <c r="C63" s="15"/>
      <c r="D63" s="16">
        <v>0</v>
      </c>
      <c r="E63" s="14">
        <f>((+B63*D63)*(1-C63))</f>
        <v>0</v>
      </c>
    </row>
    <row r="64" spans="1:7" s="17" customFormat="1" ht="13.9" customHeight="1" x14ac:dyDescent="0.2">
      <c r="A64" s="32" t="s">
        <v>37</v>
      </c>
      <c r="B64" s="14">
        <v>269</v>
      </c>
      <c r="C64" s="15"/>
      <c r="D64" s="16">
        <v>0</v>
      </c>
      <c r="E64" s="14">
        <f t="shared" ref="E64:E65" si="3">B64*D64</f>
        <v>0</v>
      </c>
    </row>
    <row r="65" spans="1:7" s="17" customFormat="1" x14ac:dyDescent="0.2">
      <c r="A65" s="32" t="s">
        <v>38</v>
      </c>
      <c r="B65" s="14">
        <v>132</v>
      </c>
      <c r="C65" s="15"/>
      <c r="D65" s="16">
        <v>0</v>
      </c>
      <c r="E65" s="14">
        <f t="shared" si="3"/>
        <v>0</v>
      </c>
    </row>
    <row r="66" spans="1:7" s="17" customFormat="1" x14ac:dyDescent="0.2">
      <c r="A66" s="32"/>
      <c r="B66" s="14"/>
      <c r="C66" s="15"/>
      <c r="D66" s="16" t="s">
        <v>47</v>
      </c>
      <c r="E66" s="14"/>
    </row>
    <row r="67" spans="1:7" s="10" customFormat="1" x14ac:dyDescent="0.2">
      <c r="A67" s="43" t="s">
        <v>73</v>
      </c>
      <c r="B67" s="41"/>
      <c r="C67" s="48"/>
      <c r="D67" s="42" t="s">
        <v>47</v>
      </c>
      <c r="E67" s="37"/>
      <c r="G67" s="17"/>
    </row>
    <row r="68" spans="1:7" s="17" customFormat="1" x14ac:dyDescent="0.2">
      <c r="A68" s="32" t="s">
        <v>35</v>
      </c>
      <c r="B68" s="14">
        <v>49</v>
      </c>
      <c r="C68" s="15"/>
      <c r="D68" s="16">
        <v>0</v>
      </c>
      <c r="E68" s="14">
        <f>((+B68*D68)*(1-C68))</f>
        <v>0</v>
      </c>
    </row>
    <row r="69" spans="1:7" s="17" customFormat="1" x14ac:dyDescent="0.2">
      <c r="A69" s="32" t="s">
        <v>36</v>
      </c>
      <c r="B69" s="14">
        <v>129</v>
      </c>
      <c r="C69" s="15"/>
      <c r="D69" s="16">
        <v>0</v>
      </c>
      <c r="E69" s="14">
        <f>((+B69*D69)*(1-C69))</f>
        <v>0</v>
      </c>
    </row>
    <row r="70" spans="1:7" s="17" customFormat="1" ht="13.9" customHeight="1" x14ac:dyDescent="0.2">
      <c r="A70" s="32" t="s">
        <v>37</v>
      </c>
      <c r="B70" s="14">
        <v>269</v>
      </c>
      <c r="C70" s="15"/>
      <c r="D70" s="16">
        <v>0</v>
      </c>
      <c r="E70" s="14">
        <f t="shared" ref="E70:E71" si="4">B70*D70</f>
        <v>0</v>
      </c>
    </row>
    <row r="71" spans="1:7" s="17" customFormat="1" x14ac:dyDescent="0.2">
      <c r="A71" s="32" t="s">
        <v>38</v>
      </c>
      <c r="B71" s="14">
        <v>132</v>
      </c>
      <c r="C71" s="15"/>
      <c r="D71" s="16">
        <v>0</v>
      </c>
      <c r="E71" s="14">
        <f t="shared" si="4"/>
        <v>0</v>
      </c>
    </row>
    <row r="72" spans="1:7" s="17" customFormat="1" x14ac:dyDescent="0.2">
      <c r="A72" s="32"/>
      <c r="B72" s="14"/>
      <c r="C72" s="15"/>
      <c r="D72" s="16" t="s">
        <v>47</v>
      </c>
      <c r="E72" s="14"/>
    </row>
    <row r="73" spans="1:7" s="10" customFormat="1" x14ac:dyDescent="0.2">
      <c r="A73" s="43" t="s">
        <v>74</v>
      </c>
      <c r="B73" s="41"/>
      <c r="C73" s="48"/>
      <c r="D73" s="42" t="s">
        <v>47</v>
      </c>
      <c r="E73" s="37"/>
      <c r="G73" s="17"/>
    </row>
    <row r="74" spans="1:7" s="17" customFormat="1" x14ac:dyDescent="0.2">
      <c r="A74" s="32" t="s">
        <v>35</v>
      </c>
      <c r="B74" s="14">
        <v>49</v>
      </c>
      <c r="C74" s="15"/>
      <c r="D74" s="16">
        <v>0</v>
      </c>
      <c r="E74" s="14">
        <f>((+B74*D74)*(1-C74))</f>
        <v>0</v>
      </c>
    </row>
    <row r="75" spans="1:7" s="17" customFormat="1" x14ac:dyDescent="0.2">
      <c r="A75" s="32" t="s">
        <v>36</v>
      </c>
      <c r="B75" s="14">
        <v>129</v>
      </c>
      <c r="C75" s="15"/>
      <c r="D75" s="16">
        <v>0</v>
      </c>
      <c r="E75" s="14">
        <f>((+B75*D75)*(1-C75))</f>
        <v>0</v>
      </c>
    </row>
    <row r="76" spans="1:7" s="17" customFormat="1" ht="13.9" customHeight="1" x14ac:dyDescent="0.2">
      <c r="A76" s="32" t="s">
        <v>37</v>
      </c>
      <c r="B76" s="14">
        <v>269</v>
      </c>
      <c r="C76" s="15"/>
      <c r="D76" s="16">
        <v>0</v>
      </c>
      <c r="E76" s="14">
        <f t="shared" ref="E76:E77" si="5">B76*D76</f>
        <v>0</v>
      </c>
    </row>
    <row r="77" spans="1:7" s="17" customFormat="1" x14ac:dyDescent="0.2">
      <c r="A77" s="32" t="s">
        <v>38</v>
      </c>
      <c r="B77" s="14">
        <v>132</v>
      </c>
      <c r="C77" s="15"/>
      <c r="D77" s="16">
        <v>0</v>
      </c>
      <c r="E77" s="14">
        <f t="shared" si="5"/>
        <v>0</v>
      </c>
    </row>
    <row r="78" spans="1:7" s="17" customFormat="1" x14ac:dyDescent="0.2">
      <c r="A78" s="32"/>
      <c r="B78" s="14"/>
      <c r="C78" s="15"/>
      <c r="D78" s="16" t="s">
        <v>47</v>
      </c>
      <c r="E78" s="14"/>
    </row>
    <row r="79" spans="1:7" s="10" customFormat="1" x14ac:dyDescent="0.2">
      <c r="A79" s="43" t="s">
        <v>75</v>
      </c>
      <c r="B79" s="41"/>
      <c r="C79" s="48"/>
      <c r="D79" s="42" t="s">
        <v>47</v>
      </c>
      <c r="E79" s="37"/>
      <c r="G79" s="17"/>
    </row>
    <row r="80" spans="1:7" s="17" customFormat="1" x14ac:dyDescent="0.2">
      <c r="A80" s="32" t="s">
        <v>35</v>
      </c>
      <c r="B80" s="14">
        <v>49</v>
      </c>
      <c r="C80" s="15"/>
      <c r="D80" s="16">
        <v>0</v>
      </c>
      <c r="E80" s="14">
        <f>((+B80*D80)*(1-C80))</f>
        <v>0</v>
      </c>
    </row>
    <row r="81" spans="1:7" s="17" customFormat="1" x14ac:dyDescent="0.2">
      <c r="A81" s="32" t="s">
        <v>36</v>
      </c>
      <c r="B81" s="14">
        <v>129</v>
      </c>
      <c r="C81" s="15"/>
      <c r="D81" s="16">
        <v>0</v>
      </c>
      <c r="E81" s="14">
        <f>((+B81*D81)*(1-C81))</f>
        <v>0</v>
      </c>
    </row>
    <row r="82" spans="1:7" s="17" customFormat="1" ht="13.9" customHeight="1" x14ac:dyDescent="0.2">
      <c r="A82" s="32" t="s">
        <v>37</v>
      </c>
      <c r="B82" s="14">
        <v>269</v>
      </c>
      <c r="C82" s="15"/>
      <c r="D82" s="16">
        <v>0</v>
      </c>
      <c r="E82" s="14">
        <f t="shared" ref="E82:E83" si="6">B82*D82</f>
        <v>0</v>
      </c>
    </row>
    <row r="83" spans="1:7" s="17" customFormat="1" x14ac:dyDescent="0.2">
      <c r="A83" s="32" t="s">
        <v>38</v>
      </c>
      <c r="B83" s="14">
        <v>132</v>
      </c>
      <c r="C83" s="15"/>
      <c r="D83" s="16">
        <v>0</v>
      </c>
      <c r="E83" s="14">
        <f t="shared" si="6"/>
        <v>0</v>
      </c>
    </row>
    <row r="84" spans="1:7" s="17" customFormat="1" x14ac:dyDescent="0.2">
      <c r="A84" s="32"/>
      <c r="B84" s="14"/>
      <c r="C84" s="15"/>
      <c r="D84" s="16" t="s">
        <v>47</v>
      </c>
      <c r="E84" s="14"/>
    </row>
    <row r="85" spans="1:7" s="10" customFormat="1" x14ac:dyDescent="0.2">
      <c r="A85" s="43" t="s">
        <v>76</v>
      </c>
      <c r="B85" s="41"/>
      <c r="C85" s="48"/>
      <c r="D85" s="42" t="s">
        <v>47</v>
      </c>
      <c r="E85" s="37"/>
      <c r="G85" s="17"/>
    </row>
    <row r="86" spans="1:7" s="17" customFormat="1" x14ac:dyDescent="0.2">
      <c r="A86" s="32" t="s">
        <v>35</v>
      </c>
      <c r="B86" s="14">
        <v>49</v>
      </c>
      <c r="C86" s="15"/>
      <c r="D86" s="16">
        <v>0</v>
      </c>
      <c r="E86" s="14">
        <f>((+B86*D86)*(1-C86))</f>
        <v>0</v>
      </c>
    </row>
    <row r="87" spans="1:7" s="17" customFormat="1" x14ac:dyDescent="0.2">
      <c r="A87" s="32" t="s">
        <v>36</v>
      </c>
      <c r="B87" s="14">
        <v>129</v>
      </c>
      <c r="C87" s="15"/>
      <c r="D87" s="16">
        <v>0</v>
      </c>
      <c r="E87" s="14">
        <f>((+B87*D87)*(1-C87))</f>
        <v>0</v>
      </c>
    </row>
    <row r="88" spans="1:7" s="17" customFormat="1" ht="13.9" customHeight="1" x14ac:dyDescent="0.2">
      <c r="A88" s="32" t="s">
        <v>37</v>
      </c>
      <c r="B88" s="14">
        <v>269</v>
      </c>
      <c r="C88" s="15"/>
      <c r="D88" s="16">
        <v>0</v>
      </c>
      <c r="E88" s="14">
        <f t="shared" ref="E88:E89" si="7">B88*D88</f>
        <v>0</v>
      </c>
    </row>
    <row r="89" spans="1:7" s="17" customFormat="1" x14ac:dyDescent="0.2">
      <c r="A89" s="32" t="s">
        <v>38</v>
      </c>
      <c r="B89" s="14">
        <v>132</v>
      </c>
      <c r="C89" s="15"/>
      <c r="D89" s="16">
        <v>0</v>
      </c>
      <c r="E89" s="14">
        <f t="shared" si="7"/>
        <v>0</v>
      </c>
    </row>
    <row r="90" spans="1:7" s="17" customFormat="1" x14ac:dyDescent="0.2">
      <c r="A90" s="32"/>
      <c r="B90" s="14"/>
      <c r="C90" s="15"/>
      <c r="D90" s="16" t="s">
        <v>47</v>
      </c>
      <c r="E90" s="14"/>
    </row>
    <row r="91" spans="1:7" s="10" customFormat="1" x14ac:dyDescent="0.2">
      <c r="A91" s="43" t="s">
        <v>77</v>
      </c>
      <c r="B91" s="41"/>
      <c r="C91" s="48"/>
      <c r="D91" s="42" t="s">
        <v>47</v>
      </c>
      <c r="E91" s="37"/>
      <c r="G91" s="17"/>
    </row>
    <row r="92" spans="1:7" s="17" customFormat="1" x14ac:dyDescent="0.2">
      <c r="A92" s="32" t="s">
        <v>35</v>
      </c>
      <c r="B92" s="14">
        <v>49</v>
      </c>
      <c r="C92" s="15"/>
      <c r="D92" s="16">
        <v>0</v>
      </c>
      <c r="E92" s="14">
        <f>((+B92*D92)*(1-C92))</f>
        <v>0</v>
      </c>
    </row>
    <row r="93" spans="1:7" s="17" customFormat="1" x14ac:dyDescent="0.2">
      <c r="A93" s="32" t="s">
        <v>36</v>
      </c>
      <c r="B93" s="14">
        <v>129</v>
      </c>
      <c r="C93" s="15"/>
      <c r="D93" s="16">
        <v>0</v>
      </c>
      <c r="E93" s="14">
        <f>((+B93*D93)*(1-C93))</f>
        <v>0</v>
      </c>
    </row>
    <row r="94" spans="1:7" s="17" customFormat="1" ht="13.9" customHeight="1" x14ac:dyDescent="0.2">
      <c r="A94" s="32" t="s">
        <v>37</v>
      </c>
      <c r="B94" s="14">
        <v>269</v>
      </c>
      <c r="C94" s="15"/>
      <c r="D94" s="16">
        <v>0</v>
      </c>
      <c r="E94" s="14">
        <f t="shared" ref="E94:E95" si="8">B94*D94</f>
        <v>0</v>
      </c>
    </row>
    <row r="95" spans="1:7" s="17" customFormat="1" x14ac:dyDescent="0.2">
      <c r="A95" s="32" t="s">
        <v>38</v>
      </c>
      <c r="B95" s="14">
        <v>132</v>
      </c>
      <c r="C95" s="15"/>
      <c r="D95" s="16">
        <v>0</v>
      </c>
      <c r="E95" s="14">
        <f t="shared" si="8"/>
        <v>0</v>
      </c>
    </row>
    <row r="96" spans="1:7" s="17" customFormat="1" x14ac:dyDescent="0.2">
      <c r="A96" s="32"/>
      <c r="B96" s="14"/>
      <c r="C96" s="15"/>
      <c r="D96" s="16" t="s">
        <v>47</v>
      </c>
      <c r="E96" s="14"/>
    </row>
    <row r="97" spans="1:7" s="10" customFormat="1" x14ac:dyDescent="0.2">
      <c r="A97" s="43" t="s">
        <v>78</v>
      </c>
      <c r="B97" s="41"/>
      <c r="C97" s="48"/>
      <c r="D97" s="42" t="s">
        <v>47</v>
      </c>
      <c r="E97" s="37"/>
      <c r="G97" s="17"/>
    </row>
    <row r="98" spans="1:7" s="17" customFormat="1" x14ac:dyDescent="0.2">
      <c r="A98" s="32" t="s">
        <v>35</v>
      </c>
      <c r="B98" s="14">
        <v>49</v>
      </c>
      <c r="C98" s="15"/>
      <c r="D98" s="16">
        <v>0</v>
      </c>
      <c r="E98" s="14">
        <f>((+B98*D98)*(1-C98))</f>
        <v>0</v>
      </c>
    </row>
    <row r="99" spans="1:7" s="17" customFormat="1" x14ac:dyDescent="0.2">
      <c r="A99" s="32" t="s">
        <v>36</v>
      </c>
      <c r="B99" s="14">
        <v>129</v>
      </c>
      <c r="C99" s="15"/>
      <c r="D99" s="16">
        <v>0</v>
      </c>
      <c r="E99" s="14">
        <f>((+B99*D99)*(1-C99))</f>
        <v>0</v>
      </c>
    </row>
    <row r="100" spans="1:7" s="17" customFormat="1" ht="13.9" customHeight="1" x14ac:dyDescent="0.2">
      <c r="A100" s="32" t="s">
        <v>37</v>
      </c>
      <c r="B100" s="14">
        <v>269</v>
      </c>
      <c r="C100" s="15"/>
      <c r="D100" s="16">
        <v>0</v>
      </c>
      <c r="E100" s="14">
        <f t="shared" ref="E100:E101" si="9">B100*D100</f>
        <v>0</v>
      </c>
    </row>
    <row r="101" spans="1:7" s="17" customFormat="1" x14ac:dyDescent="0.2">
      <c r="A101" s="32" t="s">
        <v>38</v>
      </c>
      <c r="B101" s="14">
        <v>132</v>
      </c>
      <c r="C101" s="15"/>
      <c r="D101" s="16">
        <v>0</v>
      </c>
      <c r="E101" s="14">
        <f t="shared" si="9"/>
        <v>0</v>
      </c>
    </row>
    <row r="102" spans="1:7" s="17" customFormat="1" x14ac:dyDescent="0.2">
      <c r="A102" s="32"/>
      <c r="B102" s="14"/>
      <c r="C102" s="15"/>
      <c r="D102" s="16" t="s">
        <v>47</v>
      </c>
      <c r="E102" s="14"/>
    </row>
    <row r="103" spans="1:7" s="10" customFormat="1" x14ac:dyDescent="0.2">
      <c r="A103" s="43" t="s">
        <v>79</v>
      </c>
      <c r="B103" s="41"/>
      <c r="C103" s="48"/>
      <c r="D103" s="42" t="s">
        <v>47</v>
      </c>
      <c r="E103" s="37"/>
      <c r="G103" s="17"/>
    </row>
    <row r="104" spans="1:7" s="17" customFormat="1" x14ac:dyDescent="0.2">
      <c r="A104" s="32" t="s">
        <v>35</v>
      </c>
      <c r="B104" s="14">
        <v>49</v>
      </c>
      <c r="C104" s="15"/>
      <c r="D104" s="16">
        <v>0</v>
      </c>
      <c r="E104" s="14">
        <f>((+B104*D104)*(1-C104))</f>
        <v>0</v>
      </c>
    </row>
    <row r="105" spans="1:7" s="17" customFormat="1" x14ac:dyDescent="0.2">
      <c r="A105" s="32" t="s">
        <v>36</v>
      </c>
      <c r="B105" s="14">
        <v>129</v>
      </c>
      <c r="C105" s="15"/>
      <c r="D105" s="16">
        <v>0</v>
      </c>
      <c r="E105" s="14">
        <f>((+B105*D105)*(1-C105))</f>
        <v>0</v>
      </c>
    </row>
    <row r="106" spans="1:7" s="17" customFormat="1" ht="13.9" customHeight="1" x14ac:dyDescent="0.2">
      <c r="A106" s="32" t="s">
        <v>37</v>
      </c>
      <c r="B106" s="14">
        <v>269</v>
      </c>
      <c r="C106" s="15"/>
      <c r="D106" s="16">
        <v>0</v>
      </c>
      <c r="E106" s="14">
        <f t="shared" ref="E106:E107" si="10">B106*D106</f>
        <v>0</v>
      </c>
    </row>
    <row r="107" spans="1:7" s="17" customFormat="1" x14ac:dyDescent="0.2">
      <c r="A107" s="32" t="s">
        <v>38</v>
      </c>
      <c r="B107" s="14">
        <v>132</v>
      </c>
      <c r="C107" s="15"/>
      <c r="D107" s="16">
        <v>0</v>
      </c>
      <c r="E107" s="14">
        <f t="shared" si="10"/>
        <v>0</v>
      </c>
    </row>
    <row r="108" spans="1:7" s="17" customFormat="1" x14ac:dyDescent="0.2">
      <c r="A108" s="32"/>
      <c r="B108" s="14"/>
      <c r="C108" s="15"/>
      <c r="D108" s="16" t="s">
        <v>47</v>
      </c>
      <c r="E108" s="14"/>
    </row>
    <row r="109" spans="1:7" s="10" customFormat="1" x14ac:dyDescent="0.2">
      <c r="A109" s="43" t="s">
        <v>80</v>
      </c>
      <c r="B109" s="41"/>
      <c r="C109" s="48"/>
      <c r="D109" s="42" t="s">
        <v>47</v>
      </c>
      <c r="E109" s="37"/>
      <c r="G109" s="17"/>
    </row>
    <row r="110" spans="1:7" s="17" customFormat="1" x14ac:dyDescent="0.2">
      <c r="A110" s="32" t="s">
        <v>35</v>
      </c>
      <c r="B110" s="14">
        <v>49</v>
      </c>
      <c r="C110" s="15"/>
      <c r="D110" s="16">
        <v>0</v>
      </c>
      <c r="E110" s="14">
        <f>((+B110*D110)*(1-C110))</f>
        <v>0</v>
      </c>
    </row>
    <row r="111" spans="1:7" s="17" customFormat="1" x14ac:dyDescent="0.2">
      <c r="A111" s="32" t="s">
        <v>36</v>
      </c>
      <c r="B111" s="14">
        <v>129</v>
      </c>
      <c r="C111" s="15"/>
      <c r="D111" s="16">
        <v>0</v>
      </c>
      <c r="E111" s="14">
        <f>((+B111*D111)*(1-C111))</f>
        <v>0</v>
      </c>
    </row>
    <row r="112" spans="1:7" s="17" customFormat="1" ht="13.9" customHeight="1" x14ac:dyDescent="0.2">
      <c r="A112" s="32" t="s">
        <v>37</v>
      </c>
      <c r="B112" s="14">
        <v>269</v>
      </c>
      <c r="C112" s="15"/>
      <c r="D112" s="16">
        <v>0</v>
      </c>
      <c r="E112" s="14">
        <f t="shared" ref="E112:E113" si="11">B112*D112</f>
        <v>0</v>
      </c>
    </row>
    <row r="113" spans="1:7" s="17" customFormat="1" x14ac:dyDescent="0.2">
      <c r="A113" s="32" t="s">
        <v>38</v>
      </c>
      <c r="B113" s="14">
        <v>132</v>
      </c>
      <c r="C113" s="15"/>
      <c r="D113" s="16">
        <v>0</v>
      </c>
      <c r="E113" s="14">
        <f t="shared" si="11"/>
        <v>0</v>
      </c>
    </row>
    <row r="114" spans="1:7" s="17" customFormat="1" x14ac:dyDescent="0.2">
      <c r="A114" s="32"/>
      <c r="B114" s="14"/>
      <c r="C114" s="15"/>
      <c r="D114" s="16" t="s">
        <v>47</v>
      </c>
      <c r="E114" s="14"/>
    </row>
    <row r="115" spans="1:7" s="10" customFormat="1" x14ac:dyDescent="0.2">
      <c r="A115" s="43" t="s">
        <v>81</v>
      </c>
      <c r="B115" s="41"/>
      <c r="C115" s="48"/>
      <c r="D115" s="42" t="s">
        <v>47</v>
      </c>
      <c r="E115" s="37"/>
      <c r="G115" s="17"/>
    </row>
    <row r="116" spans="1:7" s="17" customFormat="1" x14ac:dyDescent="0.2">
      <c r="A116" s="32" t="s">
        <v>35</v>
      </c>
      <c r="B116" s="14">
        <v>49</v>
      </c>
      <c r="C116" s="15"/>
      <c r="D116" s="16">
        <v>0</v>
      </c>
      <c r="E116" s="14">
        <f>((+B116*D116)*(1-C116))</f>
        <v>0</v>
      </c>
    </row>
    <row r="117" spans="1:7" s="17" customFormat="1" x14ac:dyDescent="0.2">
      <c r="A117" s="32" t="s">
        <v>36</v>
      </c>
      <c r="B117" s="14">
        <v>129</v>
      </c>
      <c r="C117" s="15"/>
      <c r="D117" s="16">
        <v>0</v>
      </c>
      <c r="E117" s="14">
        <f>((+B117*D117)*(1-C117))</f>
        <v>0</v>
      </c>
    </row>
    <row r="118" spans="1:7" s="17" customFormat="1" ht="13.9" customHeight="1" x14ac:dyDescent="0.2">
      <c r="A118" s="32" t="s">
        <v>37</v>
      </c>
      <c r="B118" s="14">
        <v>269</v>
      </c>
      <c r="C118" s="15"/>
      <c r="D118" s="16">
        <v>0</v>
      </c>
      <c r="E118" s="14">
        <f t="shared" ref="E118:E119" si="12">B118*D118</f>
        <v>0</v>
      </c>
    </row>
    <row r="119" spans="1:7" s="17" customFormat="1" x14ac:dyDescent="0.2">
      <c r="A119" s="32" t="s">
        <v>38</v>
      </c>
      <c r="B119" s="14">
        <v>132</v>
      </c>
      <c r="C119" s="15"/>
      <c r="D119" s="16">
        <v>0</v>
      </c>
      <c r="E119" s="14">
        <f t="shared" si="12"/>
        <v>0</v>
      </c>
    </row>
    <row r="120" spans="1:7" s="17" customFormat="1" x14ac:dyDescent="0.2">
      <c r="A120" s="32"/>
      <c r="B120" s="14"/>
      <c r="C120" s="15"/>
      <c r="D120" s="16" t="s">
        <v>47</v>
      </c>
      <c r="E120" s="14"/>
    </row>
    <row r="121" spans="1:7" s="10" customFormat="1" x14ac:dyDescent="0.2">
      <c r="A121" s="43" t="s">
        <v>82</v>
      </c>
      <c r="B121" s="41"/>
      <c r="C121" s="48"/>
      <c r="D121" s="42" t="s">
        <v>47</v>
      </c>
      <c r="E121" s="37"/>
      <c r="G121" s="17"/>
    </row>
    <row r="122" spans="1:7" s="17" customFormat="1" x14ac:dyDescent="0.2">
      <c r="A122" s="32" t="s">
        <v>35</v>
      </c>
      <c r="B122" s="14">
        <v>49</v>
      </c>
      <c r="C122" s="15"/>
      <c r="D122" s="16">
        <v>0</v>
      </c>
      <c r="E122" s="14">
        <f>((+B122*D122)*(1-C122))</f>
        <v>0</v>
      </c>
    </row>
    <row r="123" spans="1:7" s="17" customFormat="1" x14ac:dyDescent="0.2">
      <c r="A123" s="32" t="s">
        <v>36</v>
      </c>
      <c r="B123" s="14">
        <v>129</v>
      </c>
      <c r="C123" s="15"/>
      <c r="D123" s="16">
        <v>0</v>
      </c>
      <c r="E123" s="14">
        <f>((+B123*D123)*(1-C123))</f>
        <v>0</v>
      </c>
    </row>
    <row r="124" spans="1:7" s="17" customFormat="1" ht="13.9" customHeight="1" x14ac:dyDescent="0.2">
      <c r="A124" s="32" t="s">
        <v>37</v>
      </c>
      <c r="B124" s="14">
        <v>269</v>
      </c>
      <c r="C124" s="15"/>
      <c r="D124" s="16">
        <v>0</v>
      </c>
      <c r="E124" s="14">
        <f t="shared" ref="E124:E125" si="13">B124*D124</f>
        <v>0</v>
      </c>
    </row>
    <row r="125" spans="1:7" s="17" customFormat="1" x14ac:dyDescent="0.2">
      <c r="A125" s="32" t="s">
        <v>38</v>
      </c>
      <c r="B125" s="14">
        <v>132</v>
      </c>
      <c r="C125" s="15"/>
      <c r="D125" s="16">
        <v>0</v>
      </c>
      <c r="E125" s="14">
        <f t="shared" si="13"/>
        <v>0</v>
      </c>
    </row>
    <row r="126" spans="1:7" s="17" customFormat="1" x14ac:dyDescent="0.2">
      <c r="A126" s="32"/>
      <c r="B126" s="14"/>
      <c r="C126" s="15"/>
      <c r="D126" s="16" t="s">
        <v>47</v>
      </c>
      <c r="E126" s="14"/>
    </row>
    <row r="127" spans="1:7" s="10" customFormat="1" x14ac:dyDescent="0.2">
      <c r="A127" s="43" t="s">
        <v>83</v>
      </c>
      <c r="B127" s="41"/>
      <c r="C127" s="48"/>
      <c r="D127" s="42" t="s">
        <v>47</v>
      </c>
      <c r="E127" s="37"/>
      <c r="G127" s="17"/>
    </row>
    <row r="128" spans="1:7" s="17" customFormat="1" x14ac:dyDescent="0.2">
      <c r="A128" s="32" t="s">
        <v>35</v>
      </c>
      <c r="B128" s="14">
        <v>49</v>
      </c>
      <c r="C128" s="15"/>
      <c r="D128" s="16">
        <v>0</v>
      </c>
      <c r="E128" s="14">
        <f>((+B128*D128)*(1-C128))</f>
        <v>0</v>
      </c>
    </row>
    <row r="129" spans="1:7" s="17" customFormat="1" x14ac:dyDescent="0.2">
      <c r="A129" s="32" t="s">
        <v>36</v>
      </c>
      <c r="B129" s="14">
        <v>129</v>
      </c>
      <c r="C129" s="15"/>
      <c r="D129" s="16">
        <v>0</v>
      </c>
      <c r="E129" s="14">
        <f>((+B129*D129)*(1-C129))</f>
        <v>0</v>
      </c>
    </row>
    <row r="130" spans="1:7" s="17" customFormat="1" ht="13.9" customHeight="1" x14ac:dyDescent="0.2">
      <c r="A130" s="32" t="s">
        <v>37</v>
      </c>
      <c r="B130" s="14">
        <v>269</v>
      </c>
      <c r="C130" s="15"/>
      <c r="D130" s="16">
        <v>0</v>
      </c>
      <c r="E130" s="14">
        <f t="shared" ref="E130:E131" si="14">B130*D130</f>
        <v>0</v>
      </c>
    </row>
    <row r="131" spans="1:7" s="17" customFormat="1" x14ac:dyDescent="0.2">
      <c r="A131" s="32" t="s">
        <v>38</v>
      </c>
      <c r="B131" s="14">
        <v>132</v>
      </c>
      <c r="C131" s="15"/>
      <c r="D131" s="16">
        <v>0</v>
      </c>
      <c r="E131" s="14">
        <f t="shared" si="14"/>
        <v>0</v>
      </c>
    </row>
    <row r="132" spans="1:7" s="17" customFormat="1" x14ac:dyDescent="0.2">
      <c r="A132" s="32"/>
      <c r="B132" s="14"/>
      <c r="C132" s="15"/>
      <c r="D132" s="16" t="s">
        <v>47</v>
      </c>
      <c r="E132" s="14"/>
    </row>
    <row r="133" spans="1:7" s="10" customFormat="1" x14ac:dyDescent="0.2">
      <c r="A133" s="43" t="s">
        <v>84</v>
      </c>
      <c r="B133" s="41"/>
      <c r="C133" s="48"/>
      <c r="D133" s="42" t="s">
        <v>47</v>
      </c>
      <c r="E133" s="37"/>
      <c r="G133" s="17"/>
    </row>
    <row r="134" spans="1:7" s="17" customFormat="1" x14ac:dyDescent="0.2">
      <c r="A134" s="32" t="s">
        <v>35</v>
      </c>
      <c r="B134" s="14">
        <v>49</v>
      </c>
      <c r="C134" s="15"/>
      <c r="D134" s="16">
        <v>0</v>
      </c>
      <c r="E134" s="14">
        <f>((+B134*D134)*(1-C134))</f>
        <v>0</v>
      </c>
    </row>
    <row r="135" spans="1:7" s="17" customFormat="1" x14ac:dyDescent="0.2">
      <c r="A135" s="32" t="s">
        <v>36</v>
      </c>
      <c r="B135" s="14">
        <v>129</v>
      </c>
      <c r="C135" s="15"/>
      <c r="D135" s="16">
        <v>0</v>
      </c>
      <c r="E135" s="14">
        <f>((+B135*D135)*(1-C135))</f>
        <v>0</v>
      </c>
    </row>
    <row r="136" spans="1:7" s="17" customFormat="1" ht="13.9" customHeight="1" x14ac:dyDescent="0.2">
      <c r="A136" s="32" t="s">
        <v>37</v>
      </c>
      <c r="B136" s="14">
        <v>269</v>
      </c>
      <c r="C136" s="15"/>
      <c r="D136" s="16">
        <v>0</v>
      </c>
      <c r="E136" s="14">
        <f t="shared" ref="E136:E137" si="15">B136*D136</f>
        <v>0</v>
      </c>
    </row>
    <row r="137" spans="1:7" s="17" customFormat="1" x14ac:dyDescent="0.2">
      <c r="A137" s="32" t="s">
        <v>38</v>
      </c>
      <c r="B137" s="14">
        <v>132</v>
      </c>
      <c r="C137" s="15"/>
      <c r="D137" s="16">
        <v>0</v>
      </c>
      <c r="E137" s="14">
        <f t="shared" si="15"/>
        <v>0</v>
      </c>
    </row>
    <row r="138" spans="1:7" s="17" customFormat="1" x14ac:dyDescent="0.2">
      <c r="A138" s="32"/>
      <c r="B138" s="14"/>
      <c r="C138" s="15"/>
      <c r="D138" s="16" t="s">
        <v>47</v>
      </c>
      <c r="E138" s="14"/>
    </row>
    <row r="139" spans="1:7" s="10" customFormat="1" x14ac:dyDescent="0.2">
      <c r="A139" s="43" t="s">
        <v>85</v>
      </c>
      <c r="B139" s="41"/>
      <c r="C139" s="48"/>
      <c r="D139" s="42" t="s">
        <v>47</v>
      </c>
      <c r="E139" s="37"/>
      <c r="G139" s="17"/>
    </row>
    <row r="140" spans="1:7" s="17" customFormat="1" x14ac:dyDescent="0.2">
      <c r="A140" s="32" t="s">
        <v>35</v>
      </c>
      <c r="B140" s="14">
        <v>49</v>
      </c>
      <c r="C140" s="15"/>
      <c r="D140" s="16">
        <v>0</v>
      </c>
      <c r="E140" s="14">
        <f>((+B140*D140)*(1-C140))</f>
        <v>0</v>
      </c>
    </row>
    <row r="141" spans="1:7" s="17" customFormat="1" x14ac:dyDescent="0.2">
      <c r="A141" s="32" t="s">
        <v>36</v>
      </c>
      <c r="B141" s="14">
        <v>129</v>
      </c>
      <c r="C141" s="15"/>
      <c r="D141" s="16">
        <v>0</v>
      </c>
      <c r="E141" s="14">
        <f>((+B141*D141)*(1-C141))</f>
        <v>0</v>
      </c>
    </row>
    <row r="142" spans="1:7" s="17" customFormat="1" ht="13.9" customHeight="1" x14ac:dyDescent="0.2">
      <c r="A142" s="32" t="s">
        <v>37</v>
      </c>
      <c r="B142" s="14">
        <v>269</v>
      </c>
      <c r="C142" s="15"/>
      <c r="D142" s="16">
        <v>0</v>
      </c>
      <c r="E142" s="14">
        <f t="shared" ref="E142:E143" si="16">B142*D142</f>
        <v>0</v>
      </c>
    </row>
    <row r="143" spans="1:7" s="17" customFormat="1" x14ac:dyDescent="0.2">
      <c r="A143" s="32" t="s">
        <v>38</v>
      </c>
      <c r="B143" s="14">
        <v>132</v>
      </c>
      <c r="C143" s="15"/>
      <c r="D143" s="16">
        <v>0</v>
      </c>
      <c r="E143" s="14">
        <f t="shared" si="16"/>
        <v>0</v>
      </c>
    </row>
    <row r="144" spans="1:7" s="17" customFormat="1" x14ac:dyDescent="0.2">
      <c r="A144" s="32"/>
      <c r="B144" s="14"/>
      <c r="C144" s="15"/>
      <c r="D144" s="16" t="s">
        <v>47</v>
      </c>
      <c r="E144" s="14"/>
    </row>
    <row r="145" spans="1:7" s="10" customFormat="1" x14ac:dyDescent="0.2">
      <c r="A145" s="43" t="s">
        <v>86</v>
      </c>
      <c r="B145" s="41"/>
      <c r="C145" s="48"/>
      <c r="D145" s="42" t="s">
        <v>47</v>
      </c>
      <c r="E145" s="37"/>
      <c r="G145" s="17"/>
    </row>
    <row r="146" spans="1:7" s="17" customFormat="1" x14ac:dyDescent="0.2">
      <c r="A146" s="32" t="s">
        <v>35</v>
      </c>
      <c r="B146" s="14">
        <v>49</v>
      </c>
      <c r="C146" s="15"/>
      <c r="D146" s="16">
        <v>0</v>
      </c>
      <c r="E146" s="14">
        <f>((+B146*D146)*(1-C146))</f>
        <v>0</v>
      </c>
    </row>
    <row r="147" spans="1:7" s="17" customFormat="1" x14ac:dyDescent="0.2">
      <c r="A147" s="32" t="s">
        <v>36</v>
      </c>
      <c r="B147" s="14">
        <v>129</v>
      </c>
      <c r="C147" s="15"/>
      <c r="D147" s="16">
        <v>0</v>
      </c>
      <c r="E147" s="14">
        <f>((+B147*D147)*(1-C147))</f>
        <v>0</v>
      </c>
    </row>
    <row r="148" spans="1:7" s="17" customFormat="1" ht="13.9" customHeight="1" x14ac:dyDescent="0.2">
      <c r="A148" s="32" t="s">
        <v>37</v>
      </c>
      <c r="B148" s="14">
        <v>269</v>
      </c>
      <c r="C148" s="15"/>
      <c r="D148" s="16">
        <v>0</v>
      </c>
      <c r="E148" s="14">
        <f t="shared" ref="E148:E149" si="17">B148*D148</f>
        <v>0</v>
      </c>
    </row>
    <row r="149" spans="1:7" s="17" customFormat="1" x14ac:dyDescent="0.2">
      <c r="A149" s="32" t="s">
        <v>38</v>
      </c>
      <c r="B149" s="14">
        <v>132</v>
      </c>
      <c r="C149" s="15"/>
      <c r="D149" s="16">
        <v>0</v>
      </c>
      <c r="E149" s="14">
        <f t="shared" si="17"/>
        <v>0</v>
      </c>
    </row>
    <row r="150" spans="1:7" s="17" customFormat="1" x14ac:dyDescent="0.2">
      <c r="A150" s="32"/>
      <c r="B150" s="14"/>
      <c r="C150" s="15"/>
      <c r="D150" s="16" t="s">
        <v>47</v>
      </c>
      <c r="E150" s="14"/>
    </row>
    <row r="151" spans="1:7" s="10" customFormat="1" x14ac:dyDescent="0.2">
      <c r="A151" s="43" t="s">
        <v>87</v>
      </c>
      <c r="B151" s="41"/>
      <c r="C151" s="48"/>
      <c r="D151" s="42" t="s">
        <v>47</v>
      </c>
      <c r="E151" s="37"/>
      <c r="G151" s="17"/>
    </row>
    <row r="152" spans="1:7" s="17" customFormat="1" x14ac:dyDescent="0.2">
      <c r="A152" s="32" t="s">
        <v>35</v>
      </c>
      <c r="B152" s="14">
        <v>49</v>
      </c>
      <c r="C152" s="15"/>
      <c r="D152" s="16">
        <v>0</v>
      </c>
      <c r="E152" s="14">
        <f>((+B152*D152)*(1-C152))</f>
        <v>0</v>
      </c>
    </row>
    <row r="153" spans="1:7" s="17" customFormat="1" x14ac:dyDescent="0.2">
      <c r="A153" s="32" t="s">
        <v>36</v>
      </c>
      <c r="B153" s="14">
        <v>129</v>
      </c>
      <c r="C153" s="15"/>
      <c r="D153" s="16">
        <v>0</v>
      </c>
      <c r="E153" s="14">
        <f>((+B153*D153)*(1-C153))</f>
        <v>0</v>
      </c>
    </row>
    <row r="154" spans="1:7" s="17" customFormat="1" ht="13.9" customHeight="1" x14ac:dyDescent="0.2">
      <c r="A154" s="32" t="s">
        <v>37</v>
      </c>
      <c r="B154" s="14">
        <v>269</v>
      </c>
      <c r="C154" s="15"/>
      <c r="D154" s="16">
        <v>0</v>
      </c>
      <c r="E154" s="14">
        <f t="shared" ref="E154:E155" si="18">B154*D154</f>
        <v>0</v>
      </c>
    </row>
    <row r="155" spans="1:7" s="17" customFormat="1" x14ac:dyDescent="0.2">
      <c r="A155" s="32" t="s">
        <v>38</v>
      </c>
      <c r="B155" s="14">
        <v>132</v>
      </c>
      <c r="C155" s="15"/>
      <c r="D155" s="16">
        <v>0</v>
      </c>
      <c r="E155" s="14">
        <f t="shared" si="18"/>
        <v>0</v>
      </c>
    </row>
    <row r="156" spans="1:7" s="17" customFormat="1" x14ac:dyDescent="0.2">
      <c r="A156" s="32"/>
      <c r="B156" s="14"/>
      <c r="C156" s="15"/>
      <c r="D156" s="16" t="s">
        <v>47</v>
      </c>
      <c r="E156" s="14"/>
    </row>
    <row r="157" spans="1:7" s="10" customFormat="1" x14ac:dyDescent="0.2">
      <c r="A157" s="43" t="s">
        <v>88</v>
      </c>
      <c r="B157" s="41"/>
      <c r="C157" s="48"/>
      <c r="D157" s="42" t="s">
        <v>47</v>
      </c>
      <c r="E157" s="37"/>
      <c r="G157" s="17"/>
    </row>
    <row r="158" spans="1:7" s="17" customFormat="1" x14ac:dyDescent="0.2">
      <c r="A158" s="32" t="s">
        <v>35</v>
      </c>
      <c r="B158" s="14">
        <v>49</v>
      </c>
      <c r="C158" s="15"/>
      <c r="D158" s="16">
        <v>0</v>
      </c>
      <c r="E158" s="14">
        <f>((+B158*D158)*(1-C158))</f>
        <v>0</v>
      </c>
    </row>
    <row r="159" spans="1:7" s="17" customFormat="1" x14ac:dyDescent="0.2">
      <c r="A159" s="32" t="s">
        <v>36</v>
      </c>
      <c r="B159" s="14">
        <v>129</v>
      </c>
      <c r="C159" s="15"/>
      <c r="D159" s="16">
        <v>0</v>
      </c>
      <c r="E159" s="14">
        <f>((+B159*D159)*(1-C159))</f>
        <v>0</v>
      </c>
    </row>
    <row r="160" spans="1:7" s="17" customFormat="1" ht="13.9" customHeight="1" x14ac:dyDescent="0.2">
      <c r="A160" s="32" t="s">
        <v>37</v>
      </c>
      <c r="B160" s="14">
        <v>269</v>
      </c>
      <c r="C160" s="15"/>
      <c r="D160" s="16">
        <v>0</v>
      </c>
      <c r="E160" s="14">
        <f t="shared" ref="E160:E161" si="19">B160*D160</f>
        <v>0</v>
      </c>
    </row>
    <row r="161" spans="1:7" s="17" customFormat="1" x14ac:dyDescent="0.2">
      <c r="A161" s="32" t="s">
        <v>38</v>
      </c>
      <c r="B161" s="14">
        <v>132</v>
      </c>
      <c r="C161" s="15"/>
      <c r="D161" s="16">
        <v>0</v>
      </c>
      <c r="E161" s="14">
        <f t="shared" si="19"/>
        <v>0</v>
      </c>
    </row>
    <row r="162" spans="1:7" s="17" customFormat="1" x14ac:dyDescent="0.2">
      <c r="A162" s="32"/>
      <c r="B162" s="14"/>
      <c r="C162" s="15"/>
      <c r="D162" s="16" t="s">
        <v>47</v>
      </c>
      <c r="E162" s="14"/>
    </row>
    <row r="163" spans="1:7" s="10" customFormat="1" x14ac:dyDescent="0.2">
      <c r="A163" s="43" t="s">
        <v>89</v>
      </c>
      <c r="B163" s="41"/>
      <c r="C163" s="48"/>
      <c r="D163" s="42" t="s">
        <v>47</v>
      </c>
      <c r="E163" s="37"/>
      <c r="G163" s="17"/>
    </row>
    <row r="164" spans="1:7" s="17" customFormat="1" x14ac:dyDescent="0.2">
      <c r="A164" s="32" t="s">
        <v>35</v>
      </c>
      <c r="B164" s="14">
        <v>49</v>
      </c>
      <c r="C164" s="15"/>
      <c r="D164" s="16">
        <v>0</v>
      </c>
      <c r="E164" s="14">
        <f>((+B164*D164)*(1-C164))</f>
        <v>0</v>
      </c>
    </row>
    <row r="165" spans="1:7" s="17" customFormat="1" x14ac:dyDescent="0.2">
      <c r="A165" s="32" t="s">
        <v>36</v>
      </c>
      <c r="B165" s="14">
        <v>129</v>
      </c>
      <c r="C165" s="15"/>
      <c r="D165" s="16">
        <v>0</v>
      </c>
      <c r="E165" s="14">
        <f>((+B165*D165)*(1-C165))</f>
        <v>0</v>
      </c>
    </row>
    <row r="166" spans="1:7" s="17" customFormat="1" ht="13.9" customHeight="1" x14ac:dyDescent="0.2">
      <c r="A166" s="32" t="s">
        <v>37</v>
      </c>
      <c r="B166" s="14">
        <v>269</v>
      </c>
      <c r="C166" s="15"/>
      <c r="D166" s="16">
        <v>0</v>
      </c>
      <c r="E166" s="14">
        <f t="shared" ref="E166:E167" si="20">B166*D166</f>
        <v>0</v>
      </c>
    </row>
    <row r="167" spans="1:7" s="17" customFormat="1" x14ac:dyDescent="0.2">
      <c r="A167" s="32" t="s">
        <v>38</v>
      </c>
      <c r="B167" s="14">
        <v>132</v>
      </c>
      <c r="C167" s="15"/>
      <c r="D167" s="16">
        <v>0</v>
      </c>
      <c r="E167" s="14">
        <f t="shared" si="20"/>
        <v>0</v>
      </c>
    </row>
    <row r="168" spans="1:7" s="17" customFormat="1" x14ac:dyDescent="0.2">
      <c r="A168" s="32"/>
      <c r="B168" s="14"/>
      <c r="C168" s="15"/>
      <c r="D168" s="16" t="s">
        <v>47</v>
      </c>
      <c r="E168" s="14"/>
    </row>
    <row r="169" spans="1:7" s="10" customFormat="1" x14ac:dyDescent="0.2">
      <c r="A169" s="43" t="s">
        <v>90</v>
      </c>
      <c r="B169" s="41"/>
      <c r="C169" s="48"/>
      <c r="D169" s="42" t="s">
        <v>47</v>
      </c>
      <c r="E169" s="37"/>
      <c r="G169" s="17"/>
    </row>
    <row r="170" spans="1:7" s="17" customFormat="1" x14ac:dyDescent="0.2">
      <c r="A170" s="32" t="s">
        <v>35</v>
      </c>
      <c r="B170" s="14">
        <v>49</v>
      </c>
      <c r="C170" s="15"/>
      <c r="D170" s="16">
        <v>0</v>
      </c>
      <c r="E170" s="14">
        <f>((+B170*D170)*(1-C170))</f>
        <v>0</v>
      </c>
    </row>
    <row r="171" spans="1:7" s="17" customFormat="1" x14ac:dyDescent="0.2">
      <c r="A171" s="32" t="s">
        <v>36</v>
      </c>
      <c r="B171" s="14">
        <v>129</v>
      </c>
      <c r="C171" s="15"/>
      <c r="D171" s="16">
        <v>0</v>
      </c>
      <c r="E171" s="14">
        <f>((+B171*D171)*(1-C171))</f>
        <v>0</v>
      </c>
    </row>
    <row r="172" spans="1:7" s="17" customFormat="1" ht="13.9" customHeight="1" x14ac:dyDescent="0.2">
      <c r="A172" s="32" t="s">
        <v>37</v>
      </c>
      <c r="B172" s="14">
        <v>269</v>
      </c>
      <c r="C172" s="15"/>
      <c r="D172" s="16">
        <v>0</v>
      </c>
      <c r="E172" s="14">
        <f t="shared" ref="E172:E173" si="21">B172*D172</f>
        <v>0</v>
      </c>
    </row>
    <row r="173" spans="1:7" s="17" customFormat="1" x14ac:dyDescent="0.2">
      <c r="A173" s="32" t="s">
        <v>38</v>
      </c>
      <c r="B173" s="14">
        <v>132</v>
      </c>
      <c r="C173" s="15"/>
      <c r="D173" s="16">
        <v>0</v>
      </c>
      <c r="E173" s="14">
        <f t="shared" si="21"/>
        <v>0</v>
      </c>
    </row>
    <row r="174" spans="1:7" s="17" customFormat="1" x14ac:dyDescent="0.2">
      <c r="A174" s="32"/>
      <c r="B174" s="14"/>
      <c r="C174" s="15"/>
      <c r="D174" s="16" t="s">
        <v>47</v>
      </c>
      <c r="E174" s="14"/>
    </row>
    <row r="175" spans="1:7" s="10" customFormat="1" x14ac:dyDescent="0.2">
      <c r="A175" s="43" t="s">
        <v>91</v>
      </c>
      <c r="B175" s="41"/>
      <c r="C175" s="48"/>
      <c r="D175" s="42" t="s">
        <v>47</v>
      </c>
      <c r="E175" s="37"/>
      <c r="G175" s="17"/>
    </row>
    <row r="176" spans="1:7" s="17" customFormat="1" x14ac:dyDescent="0.2">
      <c r="A176" s="32" t="s">
        <v>35</v>
      </c>
      <c r="B176" s="14">
        <v>49</v>
      </c>
      <c r="C176" s="15"/>
      <c r="D176" s="16">
        <v>0</v>
      </c>
      <c r="E176" s="14">
        <f>((+B176*D176)*(1-C176))</f>
        <v>0</v>
      </c>
    </row>
    <row r="177" spans="1:7" s="17" customFormat="1" x14ac:dyDescent="0.2">
      <c r="A177" s="32" t="s">
        <v>36</v>
      </c>
      <c r="B177" s="14">
        <v>129</v>
      </c>
      <c r="C177" s="15"/>
      <c r="D177" s="16">
        <v>0</v>
      </c>
      <c r="E177" s="14">
        <f>((+B177*D177)*(1-C177))</f>
        <v>0</v>
      </c>
    </row>
    <row r="178" spans="1:7" s="17" customFormat="1" ht="13.9" customHeight="1" x14ac:dyDescent="0.2">
      <c r="A178" s="32" t="s">
        <v>37</v>
      </c>
      <c r="B178" s="14">
        <v>269</v>
      </c>
      <c r="C178" s="15"/>
      <c r="D178" s="16">
        <v>0</v>
      </c>
      <c r="E178" s="14">
        <f t="shared" ref="E178:E179" si="22">B178*D178</f>
        <v>0</v>
      </c>
    </row>
    <row r="179" spans="1:7" s="17" customFormat="1" x14ac:dyDescent="0.2">
      <c r="A179" s="32" t="s">
        <v>38</v>
      </c>
      <c r="B179" s="14">
        <v>132</v>
      </c>
      <c r="C179" s="15"/>
      <c r="D179" s="16">
        <v>0</v>
      </c>
      <c r="E179" s="14">
        <f t="shared" si="22"/>
        <v>0</v>
      </c>
    </row>
    <row r="180" spans="1:7" s="17" customFormat="1" x14ac:dyDescent="0.2">
      <c r="A180" s="32"/>
      <c r="B180" s="14"/>
      <c r="C180" s="15"/>
      <c r="D180" s="16" t="s">
        <v>47</v>
      </c>
      <c r="E180" s="14"/>
    </row>
    <row r="181" spans="1:7" s="10" customFormat="1" x14ac:dyDescent="0.2">
      <c r="A181" s="43" t="s">
        <v>92</v>
      </c>
      <c r="B181" s="41"/>
      <c r="C181" s="48"/>
      <c r="D181" s="42" t="s">
        <v>47</v>
      </c>
      <c r="E181" s="37"/>
      <c r="G181" s="17"/>
    </row>
    <row r="182" spans="1:7" s="17" customFormat="1" x14ac:dyDescent="0.2">
      <c r="A182" s="32" t="s">
        <v>35</v>
      </c>
      <c r="B182" s="14">
        <v>49</v>
      </c>
      <c r="C182" s="15"/>
      <c r="D182" s="16">
        <v>0</v>
      </c>
      <c r="E182" s="14">
        <f>((+B182*D182)*(1-C182))</f>
        <v>0</v>
      </c>
    </row>
    <row r="183" spans="1:7" s="17" customFormat="1" x14ac:dyDescent="0.2">
      <c r="A183" s="32" t="s">
        <v>36</v>
      </c>
      <c r="B183" s="14">
        <v>129</v>
      </c>
      <c r="C183" s="15"/>
      <c r="D183" s="16">
        <v>0</v>
      </c>
      <c r="E183" s="14">
        <f>((+B183*D183)*(1-C183))</f>
        <v>0</v>
      </c>
    </row>
    <row r="184" spans="1:7" s="17" customFormat="1" ht="13.9" customHeight="1" x14ac:dyDescent="0.2">
      <c r="A184" s="32" t="s">
        <v>37</v>
      </c>
      <c r="B184" s="14">
        <v>269</v>
      </c>
      <c r="C184" s="15"/>
      <c r="D184" s="16">
        <v>0</v>
      </c>
      <c r="E184" s="14">
        <f t="shared" ref="E184:E185" si="23">B184*D184</f>
        <v>0</v>
      </c>
    </row>
    <row r="185" spans="1:7" s="17" customFormat="1" x14ac:dyDescent="0.2">
      <c r="A185" s="32" t="s">
        <v>38</v>
      </c>
      <c r="B185" s="14">
        <v>132</v>
      </c>
      <c r="C185" s="15"/>
      <c r="D185" s="16">
        <v>0</v>
      </c>
      <c r="E185" s="14">
        <f t="shared" si="23"/>
        <v>0</v>
      </c>
    </row>
    <row r="186" spans="1:7" s="17" customFormat="1" x14ac:dyDescent="0.2">
      <c r="A186" s="32"/>
      <c r="B186" s="14"/>
      <c r="C186" s="15"/>
      <c r="D186" s="16" t="s">
        <v>47</v>
      </c>
      <c r="E186" s="14"/>
    </row>
    <row r="187" spans="1:7" s="10" customFormat="1" x14ac:dyDescent="0.2">
      <c r="A187" s="43" t="s">
        <v>93</v>
      </c>
      <c r="B187" s="41"/>
      <c r="C187" s="48"/>
      <c r="D187" s="42" t="s">
        <v>47</v>
      </c>
      <c r="E187" s="37"/>
      <c r="G187" s="17"/>
    </row>
    <row r="188" spans="1:7" s="17" customFormat="1" x14ac:dyDescent="0.2">
      <c r="A188" s="32" t="s">
        <v>35</v>
      </c>
      <c r="B188" s="14">
        <v>49</v>
      </c>
      <c r="C188" s="15"/>
      <c r="D188" s="16">
        <v>0</v>
      </c>
      <c r="E188" s="14">
        <f>((+B188*D188)*(1-C188))</f>
        <v>0</v>
      </c>
    </row>
    <row r="189" spans="1:7" s="17" customFormat="1" x14ac:dyDescent="0.2">
      <c r="A189" s="32" t="s">
        <v>36</v>
      </c>
      <c r="B189" s="14">
        <v>129</v>
      </c>
      <c r="C189" s="15"/>
      <c r="D189" s="16">
        <v>0</v>
      </c>
      <c r="E189" s="14">
        <f>((+B189*D189)*(1-C189))</f>
        <v>0</v>
      </c>
    </row>
    <row r="190" spans="1:7" s="17" customFormat="1" ht="13.9" customHeight="1" x14ac:dyDescent="0.2">
      <c r="A190" s="32" t="s">
        <v>37</v>
      </c>
      <c r="B190" s="14">
        <v>269</v>
      </c>
      <c r="C190" s="15"/>
      <c r="D190" s="16">
        <v>0</v>
      </c>
      <c r="E190" s="14">
        <f t="shared" ref="E190:E191" si="24">B190*D190</f>
        <v>0</v>
      </c>
    </row>
    <row r="191" spans="1:7" s="17" customFormat="1" x14ac:dyDescent="0.2">
      <c r="A191" s="32" t="s">
        <v>38</v>
      </c>
      <c r="B191" s="14">
        <v>132</v>
      </c>
      <c r="C191" s="15"/>
      <c r="D191" s="16">
        <v>0</v>
      </c>
      <c r="E191" s="14">
        <f t="shared" si="24"/>
        <v>0</v>
      </c>
    </row>
    <row r="192" spans="1:7" s="17" customFormat="1" x14ac:dyDescent="0.2">
      <c r="A192" s="32"/>
      <c r="B192" s="14"/>
      <c r="C192" s="15"/>
      <c r="D192" s="16" t="s">
        <v>47</v>
      </c>
      <c r="E192" s="14"/>
    </row>
    <row r="193" spans="1:7" s="10" customFormat="1" x14ac:dyDescent="0.2">
      <c r="A193" s="43" t="s">
        <v>94</v>
      </c>
      <c r="B193" s="41"/>
      <c r="C193" s="48"/>
      <c r="D193" s="42" t="s">
        <v>47</v>
      </c>
      <c r="E193" s="37"/>
      <c r="G193" s="17"/>
    </row>
    <row r="194" spans="1:7" s="17" customFormat="1" x14ac:dyDescent="0.2">
      <c r="A194" s="32" t="s">
        <v>35</v>
      </c>
      <c r="B194" s="14">
        <v>49</v>
      </c>
      <c r="C194" s="15"/>
      <c r="D194" s="16">
        <v>0</v>
      </c>
      <c r="E194" s="14">
        <f>((+B194*D194)*(1-C194))</f>
        <v>0</v>
      </c>
    </row>
    <row r="195" spans="1:7" s="17" customFormat="1" x14ac:dyDescent="0.2">
      <c r="A195" s="32" t="s">
        <v>36</v>
      </c>
      <c r="B195" s="14">
        <v>129</v>
      </c>
      <c r="C195" s="15"/>
      <c r="D195" s="16">
        <v>0</v>
      </c>
      <c r="E195" s="14">
        <f>((+B195*D195)*(1-C195))</f>
        <v>0</v>
      </c>
    </row>
    <row r="196" spans="1:7" s="17" customFormat="1" ht="13.9" customHeight="1" x14ac:dyDescent="0.2">
      <c r="A196" s="32" t="s">
        <v>37</v>
      </c>
      <c r="B196" s="14">
        <v>269</v>
      </c>
      <c r="C196" s="15"/>
      <c r="D196" s="16">
        <v>0</v>
      </c>
      <c r="E196" s="14">
        <f t="shared" ref="E196:E197" si="25">B196*D196</f>
        <v>0</v>
      </c>
    </row>
    <row r="197" spans="1:7" s="17" customFormat="1" x14ac:dyDescent="0.2">
      <c r="A197" s="32" t="s">
        <v>38</v>
      </c>
      <c r="B197" s="14">
        <v>132</v>
      </c>
      <c r="C197" s="15"/>
      <c r="D197" s="16">
        <v>0</v>
      </c>
      <c r="E197" s="14">
        <f t="shared" si="25"/>
        <v>0</v>
      </c>
    </row>
    <row r="198" spans="1:7" s="17" customFormat="1" x14ac:dyDescent="0.2">
      <c r="A198" s="32"/>
      <c r="B198" s="14"/>
      <c r="C198" s="15"/>
      <c r="D198" s="16" t="s">
        <v>47</v>
      </c>
      <c r="E198" s="14"/>
    </row>
    <row r="199" spans="1:7" s="10" customFormat="1" x14ac:dyDescent="0.2">
      <c r="A199" s="43" t="s">
        <v>95</v>
      </c>
      <c r="B199" s="41"/>
      <c r="C199" s="48"/>
      <c r="D199" s="42" t="s">
        <v>47</v>
      </c>
      <c r="E199" s="37"/>
      <c r="G199" s="17"/>
    </row>
    <row r="200" spans="1:7" s="17" customFormat="1" x14ac:dyDescent="0.2">
      <c r="A200" s="32" t="s">
        <v>35</v>
      </c>
      <c r="B200" s="14">
        <v>49</v>
      </c>
      <c r="C200" s="15"/>
      <c r="D200" s="16">
        <v>0</v>
      </c>
      <c r="E200" s="14">
        <f>((+B200*D200)*(1-C200))</f>
        <v>0</v>
      </c>
    </row>
    <row r="201" spans="1:7" s="17" customFormat="1" x14ac:dyDescent="0.2">
      <c r="A201" s="32" t="s">
        <v>36</v>
      </c>
      <c r="B201" s="14">
        <v>129</v>
      </c>
      <c r="C201" s="15"/>
      <c r="D201" s="16">
        <v>0</v>
      </c>
      <c r="E201" s="14">
        <f>((+B201*D201)*(1-C201))</f>
        <v>0</v>
      </c>
    </row>
    <row r="202" spans="1:7" s="17" customFormat="1" ht="13.9" customHeight="1" x14ac:dyDescent="0.2">
      <c r="A202" s="32" t="s">
        <v>37</v>
      </c>
      <c r="B202" s="14">
        <v>269</v>
      </c>
      <c r="C202" s="15"/>
      <c r="D202" s="16">
        <v>0</v>
      </c>
      <c r="E202" s="14">
        <f t="shared" ref="E202:E203" si="26">B202*D202</f>
        <v>0</v>
      </c>
    </row>
    <row r="203" spans="1:7" s="17" customFormat="1" x14ac:dyDescent="0.2">
      <c r="A203" s="32" t="s">
        <v>38</v>
      </c>
      <c r="B203" s="14">
        <v>132</v>
      </c>
      <c r="C203" s="15"/>
      <c r="D203" s="16">
        <v>0</v>
      </c>
      <c r="E203" s="14">
        <f t="shared" si="26"/>
        <v>0</v>
      </c>
    </row>
    <row r="204" spans="1:7" s="17" customFormat="1" x14ac:dyDescent="0.2">
      <c r="A204" s="32"/>
      <c r="B204" s="14"/>
      <c r="C204" s="15"/>
      <c r="D204" s="16" t="s">
        <v>47</v>
      </c>
      <c r="E204" s="14"/>
    </row>
    <row r="205" spans="1:7" s="10" customFormat="1" x14ac:dyDescent="0.2">
      <c r="A205" s="43" t="s">
        <v>96</v>
      </c>
      <c r="B205" s="41"/>
      <c r="C205" s="48"/>
      <c r="D205" s="42" t="s">
        <v>47</v>
      </c>
      <c r="E205" s="37"/>
      <c r="G205" s="17"/>
    </row>
    <row r="206" spans="1:7" s="17" customFormat="1" x14ac:dyDescent="0.2">
      <c r="A206" s="32" t="s">
        <v>35</v>
      </c>
      <c r="B206" s="14">
        <v>49</v>
      </c>
      <c r="C206" s="15"/>
      <c r="D206" s="16">
        <v>0</v>
      </c>
      <c r="E206" s="14">
        <f>((+B206*D206)*(1-C206))</f>
        <v>0</v>
      </c>
    </row>
    <row r="207" spans="1:7" s="17" customFormat="1" x14ac:dyDescent="0.2">
      <c r="A207" s="32" t="s">
        <v>36</v>
      </c>
      <c r="B207" s="14">
        <v>129</v>
      </c>
      <c r="C207" s="15"/>
      <c r="D207" s="16">
        <v>0</v>
      </c>
      <c r="E207" s="14">
        <f>((+B207*D207)*(1-C207))</f>
        <v>0</v>
      </c>
    </row>
    <row r="208" spans="1:7" s="17" customFormat="1" ht="13.9" customHeight="1" x14ac:dyDescent="0.2">
      <c r="A208" s="32" t="s">
        <v>37</v>
      </c>
      <c r="B208" s="14">
        <v>269</v>
      </c>
      <c r="C208" s="15"/>
      <c r="D208" s="16">
        <v>0</v>
      </c>
      <c r="E208" s="14">
        <f t="shared" ref="E208:E209" si="27">B208*D208</f>
        <v>0</v>
      </c>
    </row>
    <row r="209" spans="1:7" s="17" customFormat="1" x14ac:dyDescent="0.2">
      <c r="A209" s="32" t="s">
        <v>38</v>
      </c>
      <c r="B209" s="14">
        <v>132</v>
      </c>
      <c r="C209" s="15"/>
      <c r="D209" s="16">
        <v>0</v>
      </c>
      <c r="E209" s="14">
        <f t="shared" si="27"/>
        <v>0</v>
      </c>
    </row>
    <row r="210" spans="1:7" s="17" customFormat="1" x14ac:dyDescent="0.2">
      <c r="A210" s="32"/>
      <c r="B210" s="14"/>
      <c r="C210" s="15"/>
      <c r="D210" s="16" t="s">
        <v>47</v>
      </c>
      <c r="E210" s="14"/>
    </row>
    <row r="211" spans="1:7" s="10" customFormat="1" x14ac:dyDescent="0.2">
      <c r="A211" s="43" t="s">
        <v>97</v>
      </c>
      <c r="B211" s="41"/>
      <c r="C211" s="48"/>
      <c r="D211" s="42" t="s">
        <v>47</v>
      </c>
      <c r="E211" s="37"/>
      <c r="G211" s="17"/>
    </row>
    <row r="212" spans="1:7" s="17" customFormat="1" x14ac:dyDescent="0.2">
      <c r="A212" s="32" t="s">
        <v>35</v>
      </c>
      <c r="B212" s="14">
        <v>49</v>
      </c>
      <c r="C212" s="15"/>
      <c r="D212" s="16">
        <v>0</v>
      </c>
      <c r="E212" s="14">
        <f>((+B212*D212)*(1-C212))</f>
        <v>0</v>
      </c>
    </row>
    <row r="213" spans="1:7" s="17" customFormat="1" x14ac:dyDescent="0.2">
      <c r="A213" s="32" t="s">
        <v>36</v>
      </c>
      <c r="B213" s="14">
        <v>129</v>
      </c>
      <c r="C213" s="15"/>
      <c r="D213" s="16">
        <v>0</v>
      </c>
      <c r="E213" s="14">
        <f>((+B213*D213)*(1-C213))</f>
        <v>0</v>
      </c>
    </row>
    <row r="214" spans="1:7" s="17" customFormat="1" ht="13.9" customHeight="1" x14ac:dyDescent="0.2">
      <c r="A214" s="32" t="s">
        <v>37</v>
      </c>
      <c r="B214" s="14">
        <v>269</v>
      </c>
      <c r="C214" s="15"/>
      <c r="D214" s="16">
        <v>0</v>
      </c>
      <c r="E214" s="14">
        <f t="shared" ref="E214:E215" si="28">B214*D214</f>
        <v>0</v>
      </c>
    </row>
    <row r="215" spans="1:7" s="17" customFormat="1" x14ac:dyDescent="0.2">
      <c r="A215" s="32" t="s">
        <v>38</v>
      </c>
      <c r="B215" s="14">
        <v>132</v>
      </c>
      <c r="C215" s="15"/>
      <c r="D215" s="16">
        <v>0</v>
      </c>
      <c r="E215" s="14">
        <f t="shared" si="28"/>
        <v>0</v>
      </c>
    </row>
    <row r="216" spans="1:7" s="17" customFormat="1" x14ac:dyDescent="0.2">
      <c r="A216" s="32"/>
      <c r="B216" s="14"/>
      <c r="C216" s="15"/>
      <c r="D216" s="16" t="s">
        <v>47</v>
      </c>
      <c r="E216" s="14"/>
    </row>
    <row r="217" spans="1:7" s="10" customFormat="1" x14ac:dyDescent="0.2">
      <c r="A217" s="43" t="s">
        <v>98</v>
      </c>
      <c r="B217" s="41"/>
      <c r="C217" s="48"/>
      <c r="D217" s="42" t="s">
        <v>47</v>
      </c>
      <c r="E217" s="37"/>
      <c r="G217" s="17"/>
    </row>
    <row r="218" spans="1:7" s="17" customFormat="1" x14ac:dyDescent="0.2">
      <c r="A218" s="32" t="s">
        <v>35</v>
      </c>
      <c r="B218" s="14">
        <v>49</v>
      </c>
      <c r="C218" s="15"/>
      <c r="D218" s="16">
        <v>0</v>
      </c>
      <c r="E218" s="14">
        <f>((+B218*D218)*(1-C218))</f>
        <v>0</v>
      </c>
    </row>
    <row r="219" spans="1:7" s="17" customFormat="1" x14ac:dyDescent="0.2">
      <c r="A219" s="32" t="s">
        <v>36</v>
      </c>
      <c r="B219" s="14">
        <v>129</v>
      </c>
      <c r="C219" s="15"/>
      <c r="D219" s="16">
        <v>0</v>
      </c>
      <c r="E219" s="14">
        <f>((+B219*D219)*(1-C219))</f>
        <v>0</v>
      </c>
    </row>
    <row r="220" spans="1:7" s="17" customFormat="1" ht="13.9" customHeight="1" x14ac:dyDescent="0.2">
      <c r="A220" s="32" t="s">
        <v>37</v>
      </c>
      <c r="B220" s="14">
        <v>269</v>
      </c>
      <c r="C220" s="15"/>
      <c r="D220" s="16">
        <v>0</v>
      </c>
      <c r="E220" s="14">
        <f t="shared" ref="E220:E221" si="29">B220*D220</f>
        <v>0</v>
      </c>
    </row>
    <row r="221" spans="1:7" s="17" customFormat="1" x14ac:dyDescent="0.2">
      <c r="A221" s="32" t="s">
        <v>38</v>
      </c>
      <c r="B221" s="14">
        <v>132</v>
      </c>
      <c r="C221" s="15"/>
      <c r="D221" s="16">
        <v>0</v>
      </c>
      <c r="E221" s="14">
        <f t="shared" si="29"/>
        <v>0</v>
      </c>
    </row>
    <row r="222" spans="1:7" s="17" customFormat="1" x14ac:dyDescent="0.2">
      <c r="A222" s="32"/>
      <c r="B222" s="14"/>
      <c r="C222" s="15"/>
      <c r="D222" s="16" t="s">
        <v>47</v>
      </c>
      <c r="E222" s="14"/>
    </row>
    <row r="223" spans="1:7" s="10" customFormat="1" x14ac:dyDescent="0.2">
      <c r="A223" s="43" t="s">
        <v>99</v>
      </c>
      <c r="B223" s="41"/>
      <c r="C223" s="48"/>
      <c r="D223" s="42" t="s">
        <v>47</v>
      </c>
      <c r="E223" s="37"/>
      <c r="G223" s="17"/>
    </row>
    <row r="224" spans="1:7" s="17" customFormat="1" x14ac:dyDescent="0.2">
      <c r="A224" s="32" t="s">
        <v>35</v>
      </c>
      <c r="B224" s="14">
        <v>49</v>
      </c>
      <c r="C224" s="15"/>
      <c r="D224" s="16">
        <v>0</v>
      </c>
      <c r="E224" s="14">
        <f>((+B224*D224)*(1-C224))</f>
        <v>0</v>
      </c>
    </row>
    <row r="225" spans="1:7" s="17" customFormat="1" x14ac:dyDescent="0.2">
      <c r="A225" s="32" t="s">
        <v>36</v>
      </c>
      <c r="B225" s="14">
        <v>129</v>
      </c>
      <c r="C225" s="15"/>
      <c r="D225" s="16">
        <v>0</v>
      </c>
      <c r="E225" s="14">
        <f>((+B225*D225)*(1-C225))</f>
        <v>0</v>
      </c>
    </row>
    <row r="226" spans="1:7" s="17" customFormat="1" ht="13.9" customHeight="1" x14ac:dyDescent="0.2">
      <c r="A226" s="32" t="s">
        <v>37</v>
      </c>
      <c r="B226" s="14">
        <v>269</v>
      </c>
      <c r="C226" s="15"/>
      <c r="D226" s="16">
        <v>0</v>
      </c>
      <c r="E226" s="14">
        <f t="shared" ref="E226:E227" si="30">B226*D226</f>
        <v>0</v>
      </c>
    </row>
    <row r="227" spans="1:7" s="17" customFormat="1" x14ac:dyDescent="0.2">
      <c r="A227" s="32" t="s">
        <v>38</v>
      </c>
      <c r="B227" s="14">
        <v>132</v>
      </c>
      <c r="C227" s="15"/>
      <c r="D227" s="16">
        <v>0</v>
      </c>
      <c r="E227" s="14">
        <f t="shared" si="30"/>
        <v>0</v>
      </c>
    </row>
    <row r="228" spans="1:7" s="17" customFormat="1" x14ac:dyDescent="0.2">
      <c r="A228" s="32"/>
      <c r="B228" s="14"/>
      <c r="C228" s="15"/>
      <c r="D228" s="16" t="s">
        <v>47</v>
      </c>
      <c r="E228" s="14"/>
    </row>
    <row r="229" spans="1:7" s="10" customFormat="1" x14ac:dyDescent="0.2">
      <c r="A229" s="43" t="s">
        <v>100</v>
      </c>
      <c r="B229" s="41"/>
      <c r="C229" s="48"/>
      <c r="D229" s="42" t="s">
        <v>47</v>
      </c>
      <c r="E229" s="37"/>
      <c r="G229" s="17"/>
    </row>
    <row r="230" spans="1:7" s="17" customFormat="1" x14ac:dyDescent="0.2">
      <c r="A230" s="32" t="s">
        <v>35</v>
      </c>
      <c r="B230" s="14">
        <v>49</v>
      </c>
      <c r="C230" s="15"/>
      <c r="D230" s="16">
        <v>0</v>
      </c>
      <c r="E230" s="14">
        <f>((+B230*D230)*(1-C230))</f>
        <v>0</v>
      </c>
    </row>
    <row r="231" spans="1:7" s="17" customFormat="1" x14ac:dyDescent="0.2">
      <c r="A231" s="32" t="s">
        <v>36</v>
      </c>
      <c r="B231" s="14">
        <v>129</v>
      </c>
      <c r="C231" s="15"/>
      <c r="D231" s="16">
        <v>0</v>
      </c>
      <c r="E231" s="14">
        <f>((+B231*D231)*(1-C231))</f>
        <v>0</v>
      </c>
    </row>
    <row r="232" spans="1:7" s="17" customFormat="1" ht="13.9" customHeight="1" x14ac:dyDescent="0.2">
      <c r="A232" s="32" t="s">
        <v>37</v>
      </c>
      <c r="B232" s="14">
        <v>269</v>
      </c>
      <c r="C232" s="15"/>
      <c r="D232" s="16">
        <v>0</v>
      </c>
      <c r="E232" s="14">
        <f t="shared" ref="E232:E233" si="31">B232*D232</f>
        <v>0</v>
      </c>
    </row>
    <row r="233" spans="1:7" s="17" customFormat="1" x14ac:dyDescent="0.2">
      <c r="A233" s="32" t="s">
        <v>38</v>
      </c>
      <c r="B233" s="14">
        <v>132</v>
      </c>
      <c r="C233" s="15"/>
      <c r="D233" s="16">
        <v>0</v>
      </c>
      <c r="E233" s="14">
        <f t="shared" si="31"/>
        <v>0</v>
      </c>
    </row>
    <row r="234" spans="1:7" s="17" customFormat="1" x14ac:dyDescent="0.2">
      <c r="A234" s="32"/>
      <c r="B234" s="14"/>
      <c r="C234" s="15"/>
      <c r="D234" s="16" t="s">
        <v>47</v>
      </c>
      <c r="E234" s="14"/>
    </row>
    <row r="235" spans="1:7" s="10" customFormat="1" x14ac:dyDescent="0.2">
      <c r="A235" s="43" t="s">
        <v>101</v>
      </c>
      <c r="B235" s="41"/>
      <c r="C235" s="48"/>
      <c r="D235" s="42" t="s">
        <v>47</v>
      </c>
      <c r="E235" s="37"/>
      <c r="G235" s="17"/>
    </row>
    <row r="236" spans="1:7" s="17" customFormat="1" x14ac:dyDescent="0.2">
      <c r="A236" s="32" t="s">
        <v>35</v>
      </c>
      <c r="B236" s="14">
        <v>49</v>
      </c>
      <c r="C236" s="15"/>
      <c r="D236" s="16">
        <v>0</v>
      </c>
      <c r="E236" s="14">
        <f>((+B236*D236)*(1-C236))</f>
        <v>0</v>
      </c>
    </row>
    <row r="237" spans="1:7" s="17" customFormat="1" x14ac:dyDescent="0.2">
      <c r="A237" s="32" t="s">
        <v>36</v>
      </c>
      <c r="B237" s="14">
        <v>129</v>
      </c>
      <c r="C237" s="15"/>
      <c r="D237" s="16">
        <v>0</v>
      </c>
      <c r="E237" s="14">
        <f>((+B237*D237)*(1-C237))</f>
        <v>0</v>
      </c>
    </row>
    <row r="238" spans="1:7" s="17" customFormat="1" ht="13.9" customHeight="1" x14ac:dyDescent="0.2">
      <c r="A238" s="32" t="s">
        <v>37</v>
      </c>
      <c r="B238" s="14">
        <v>269</v>
      </c>
      <c r="C238" s="15"/>
      <c r="D238" s="16">
        <v>0</v>
      </c>
      <c r="E238" s="14">
        <f t="shared" ref="E238:E239" si="32">B238*D238</f>
        <v>0</v>
      </c>
    </row>
    <row r="239" spans="1:7" s="17" customFormat="1" x14ac:dyDescent="0.2">
      <c r="A239" s="32" t="s">
        <v>38</v>
      </c>
      <c r="B239" s="14">
        <v>132</v>
      </c>
      <c r="C239" s="15"/>
      <c r="D239" s="16">
        <v>0</v>
      </c>
      <c r="E239" s="14">
        <f t="shared" si="32"/>
        <v>0</v>
      </c>
    </row>
    <row r="240" spans="1:7" s="17" customFormat="1" x14ac:dyDescent="0.2">
      <c r="A240" s="32"/>
      <c r="B240" s="14"/>
      <c r="C240" s="15"/>
      <c r="D240" s="16" t="s">
        <v>47</v>
      </c>
      <c r="E240" s="14"/>
    </row>
    <row r="241" spans="1:7" s="10" customFormat="1" x14ac:dyDescent="0.2">
      <c r="A241" s="43" t="s">
        <v>102</v>
      </c>
      <c r="B241" s="41"/>
      <c r="C241" s="48"/>
      <c r="D241" s="42" t="s">
        <v>47</v>
      </c>
      <c r="E241" s="37"/>
      <c r="G241" s="17"/>
    </row>
    <row r="242" spans="1:7" s="17" customFormat="1" x14ac:dyDescent="0.2">
      <c r="A242" s="32" t="s">
        <v>35</v>
      </c>
      <c r="B242" s="14">
        <v>49</v>
      </c>
      <c r="C242" s="15"/>
      <c r="D242" s="16">
        <v>0</v>
      </c>
      <c r="E242" s="14">
        <f>((+B242*D242)*(1-C242))</f>
        <v>0</v>
      </c>
    </row>
    <row r="243" spans="1:7" s="17" customFormat="1" x14ac:dyDescent="0.2">
      <c r="A243" s="32" t="s">
        <v>36</v>
      </c>
      <c r="B243" s="14">
        <v>129</v>
      </c>
      <c r="C243" s="15"/>
      <c r="D243" s="16">
        <v>0</v>
      </c>
      <c r="E243" s="14">
        <f>((+B243*D243)*(1-C243))</f>
        <v>0</v>
      </c>
    </row>
    <row r="244" spans="1:7" s="17" customFormat="1" ht="13.9" customHeight="1" x14ac:dyDescent="0.2">
      <c r="A244" s="32" t="s">
        <v>37</v>
      </c>
      <c r="B244" s="14">
        <v>269</v>
      </c>
      <c r="C244" s="15"/>
      <c r="D244" s="16">
        <v>0</v>
      </c>
      <c r="E244" s="14">
        <f t="shared" ref="E244:E245" si="33">B244*D244</f>
        <v>0</v>
      </c>
    </row>
    <row r="245" spans="1:7" s="17" customFormat="1" x14ac:dyDescent="0.2">
      <c r="A245" s="32" t="s">
        <v>38</v>
      </c>
      <c r="B245" s="14">
        <v>132</v>
      </c>
      <c r="C245" s="15"/>
      <c r="D245" s="16">
        <v>0</v>
      </c>
      <c r="E245" s="14">
        <f t="shared" si="33"/>
        <v>0</v>
      </c>
    </row>
    <row r="246" spans="1:7" s="17" customFormat="1" x14ac:dyDescent="0.2">
      <c r="A246" s="32"/>
      <c r="B246" s="14"/>
      <c r="C246" s="15"/>
      <c r="D246" s="16"/>
      <c r="E246" s="14"/>
    </row>
    <row r="247" spans="1:7" s="10" customFormat="1" x14ac:dyDescent="0.2">
      <c r="A247" s="33"/>
      <c r="B247" s="41"/>
      <c r="C247" s="48"/>
      <c r="D247" s="42"/>
      <c r="E247" s="37"/>
      <c r="G247" s="17"/>
    </row>
    <row r="248" spans="1:7" s="10" customFormat="1" x14ac:dyDescent="0.2">
      <c r="A248" s="11" t="s">
        <v>32</v>
      </c>
      <c r="B248" s="8"/>
      <c r="C248" s="9"/>
      <c r="D248" s="7"/>
      <c r="E248" s="8"/>
      <c r="G248" s="17"/>
    </row>
    <row r="249" spans="1:7" s="10" customFormat="1" ht="3" customHeight="1" x14ac:dyDescent="0.2">
      <c r="A249" s="27"/>
      <c r="B249" s="28"/>
      <c r="C249" s="30"/>
      <c r="D249" s="28"/>
      <c r="E249" s="28"/>
      <c r="G249" s="17"/>
    </row>
    <row r="250" spans="1:7" s="10" customFormat="1" x14ac:dyDescent="0.2">
      <c r="A250" s="33"/>
      <c r="B250" s="41"/>
      <c r="C250" s="48"/>
      <c r="D250" s="42"/>
      <c r="E250" s="37"/>
      <c r="G250" s="17"/>
    </row>
    <row r="251" spans="1:7" s="10" customFormat="1" x14ac:dyDescent="0.2">
      <c r="A251" s="32" t="s">
        <v>54</v>
      </c>
      <c r="B251" s="8"/>
      <c r="C251" s="9"/>
      <c r="D251" s="7"/>
      <c r="E251" s="8"/>
      <c r="G251" s="17"/>
    </row>
    <row r="252" spans="1:7" s="17" customFormat="1" x14ac:dyDescent="0.2">
      <c r="A252" s="6" t="s">
        <v>42</v>
      </c>
      <c r="B252" s="14">
        <v>880</v>
      </c>
      <c r="C252" s="15">
        <v>0.35</v>
      </c>
      <c r="D252" s="16">
        <f>'Tabel import'!B13</f>
        <v>0</v>
      </c>
      <c r="E252" s="14">
        <f>((+B252*D252)*(1-C252))</f>
        <v>0</v>
      </c>
    </row>
    <row r="253" spans="1:7" s="17" customFormat="1" x14ac:dyDescent="0.2">
      <c r="A253" s="13" t="s">
        <v>46</v>
      </c>
      <c r="B253" s="14">
        <v>210</v>
      </c>
      <c r="C253" s="15">
        <v>0.2</v>
      </c>
      <c r="D253" s="16">
        <f>D252</f>
        <v>0</v>
      </c>
      <c r="E253" s="14">
        <f>((+B253*D253)*(1-C253))</f>
        <v>0</v>
      </c>
    </row>
    <row r="254" spans="1:7" s="10" customFormat="1" x14ac:dyDescent="0.2">
      <c r="A254" s="6" t="s">
        <v>13</v>
      </c>
      <c r="B254" s="14">
        <v>269.5</v>
      </c>
      <c r="C254" s="9"/>
      <c r="D254" s="16">
        <f>D252</f>
        <v>0</v>
      </c>
      <c r="E254" s="14">
        <f>((+B254*D254)*(1-C254))</f>
        <v>0</v>
      </c>
      <c r="G254" s="17"/>
    </row>
    <row r="255" spans="1:7" s="10" customFormat="1" x14ac:dyDescent="0.2">
      <c r="A255" s="33"/>
      <c r="B255" s="41"/>
      <c r="C255" s="48"/>
      <c r="D255" s="42"/>
      <c r="E255" s="37"/>
      <c r="G255" s="17"/>
    </row>
    <row r="256" spans="1:7" s="10" customFormat="1" x14ac:dyDescent="0.2">
      <c r="A256" s="32" t="s">
        <v>55</v>
      </c>
      <c r="B256" s="8"/>
      <c r="C256" s="9"/>
      <c r="D256" s="7"/>
      <c r="E256" s="8"/>
      <c r="G256" s="17"/>
    </row>
    <row r="257" spans="1:7" s="17" customFormat="1" x14ac:dyDescent="0.2">
      <c r="A257" s="6" t="s">
        <v>43</v>
      </c>
      <c r="B257" s="14">
        <v>1995</v>
      </c>
      <c r="C257" s="15">
        <v>0.35</v>
      </c>
      <c r="D257" s="16">
        <f>'Tabel import'!B14</f>
        <v>1</v>
      </c>
      <c r="E257" s="14">
        <f>((+B257*D257)*(1-C257))</f>
        <v>1296.75</v>
      </c>
    </row>
    <row r="258" spans="1:7" s="10" customFormat="1" x14ac:dyDescent="0.2">
      <c r="A258" s="6" t="s">
        <v>13</v>
      </c>
      <c r="B258" s="14">
        <v>269.5</v>
      </c>
      <c r="C258" s="9"/>
      <c r="D258" s="16">
        <f>D257</f>
        <v>1</v>
      </c>
      <c r="E258" s="14">
        <f>((+B258*D258)*(1-C258))</f>
        <v>269.5</v>
      </c>
      <c r="G258" s="17"/>
    </row>
    <row r="259" spans="1:7" s="17" customFormat="1" x14ac:dyDescent="0.2">
      <c r="A259" s="13"/>
      <c r="B259" s="14"/>
      <c r="C259" s="15"/>
      <c r="D259" s="16"/>
      <c r="E259" s="14"/>
    </row>
    <row r="260" spans="1:7" s="17" customFormat="1" x14ac:dyDescent="0.2">
      <c r="A260" s="32" t="s">
        <v>56</v>
      </c>
      <c r="B260" s="14"/>
      <c r="C260" s="15"/>
      <c r="D260" s="16"/>
      <c r="E260" s="14"/>
    </row>
    <row r="261" spans="1:7" s="17" customFormat="1" x14ac:dyDescent="0.2">
      <c r="A261" s="6" t="s">
        <v>44</v>
      </c>
      <c r="B261" s="14">
        <v>2995</v>
      </c>
      <c r="C261" s="15">
        <v>0.35</v>
      </c>
      <c r="D261" s="16">
        <f>'Tabel import'!B15</f>
        <v>0</v>
      </c>
      <c r="E261" s="14">
        <f>((+B261*D261)*(1-C261))</f>
        <v>0</v>
      </c>
    </row>
    <row r="262" spans="1:7" s="10" customFormat="1" x14ac:dyDescent="0.2">
      <c r="A262" s="6" t="s">
        <v>13</v>
      </c>
      <c r="B262" s="14">
        <v>269.5</v>
      </c>
      <c r="C262" s="9"/>
      <c r="D262" s="16">
        <f>D261</f>
        <v>0</v>
      </c>
      <c r="E262" s="14">
        <f>((+B262*D262)*(1-C262))</f>
        <v>0</v>
      </c>
      <c r="G262" s="17"/>
    </row>
    <row r="263" spans="1:7" s="10" customFormat="1" x14ac:dyDescent="0.2">
      <c r="A263" s="6"/>
      <c r="B263" s="14"/>
      <c r="C263" s="9"/>
      <c r="D263" s="16"/>
      <c r="E263" s="14"/>
      <c r="G263" s="17"/>
    </row>
    <row r="264" spans="1:7" s="10" customFormat="1" x14ac:dyDescent="0.2">
      <c r="A264" s="11" t="s">
        <v>57</v>
      </c>
      <c r="B264" s="14" t="s">
        <v>47</v>
      </c>
      <c r="C264" s="9"/>
      <c r="D264" s="16"/>
      <c r="E264" s="14"/>
      <c r="G264" s="17"/>
    </row>
    <row r="265" spans="1:7" s="10" customFormat="1" x14ac:dyDescent="0.2">
      <c r="A265" s="6" t="s">
        <v>48</v>
      </c>
      <c r="B265" s="14">
        <v>3695</v>
      </c>
      <c r="C265" s="9">
        <v>0.35</v>
      </c>
      <c r="D265" s="16">
        <f>'Tabel import'!B16</f>
        <v>0</v>
      </c>
      <c r="E265" s="14">
        <f>((+B265*D265)*(1-C265))</f>
        <v>0</v>
      </c>
      <c r="G265" s="17"/>
    </row>
    <row r="266" spans="1:7" s="10" customFormat="1" x14ac:dyDescent="0.2">
      <c r="A266" s="6" t="s">
        <v>13</v>
      </c>
      <c r="B266" s="14">
        <v>269.5</v>
      </c>
      <c r="C266" s="9"/>
      <c r="D266" s="16">
        <f>D265</f>
        <v>0</v>
      </c>
      <c r="E266" s="14">
        <f>((+B266*D266)*(1-C266))</f>
        <v>0</v>
      </c>
      <c r="G266" s="17"/>
    </row>
    <row r="267" spans="1:7" s="10" customFormat="1" x14ac:dyDescent="0.2">
      <c r="A267" s="6"/>
      <c r="B267" s="14"/>
      <c r="C267" s="9"/>
      <c r="D267" s="16"/>
      <c r="E267" s="14"/>
      <c r="G267" s="17"/>
    </row>
    <row r="268" spans="1:7" s="10" customFormat="1" x14ac:dyDescent="0.2">
      <c r="A268" s="11" t="s">
        <v>58</v>
      </c>
      <c r="B268" s="8"/>
      <c r="C268" s="9"/>
      <c r="D268" s="7"/>
      <c r="E268" s="8"/>
      <c r="G268" s="17"/>
    </row>
    <row r="269" spans="1:7" s="17" customFormat="1" x14ac:dyDescent="0.2">
      <c r="A269" s="13" t="s">
        <v>33</v>
      </c>
      <c r="B269" s="14">
        <v>159.85</v>
      </c>
      <c r="C269" s="15">
        <v>0.35</v>
      </c>
      <c r="D269" s="16">
        <v>0</v>
      </c>
      <c r="E269" s="14">
        <f>((+B269*D269)*(1-C269))</f>
        <v>0</v>
      </c>
    </row>
    <row r="270" spans="1:7" s="17" customFormat="1" x14ac:dyDescent="0.2">
      <c r="A270" s="13"/>
      <c r="B270" s="14"/>
      <c r="C270" s="15"/>
      <c r="D270" s="16"/>
      <c r="E270" s="14"/>
    </row>
    <row r="271" spans="1:7" s="17" customFormat="1" x14ac:dyDescent="0.2">
      <c r="A271" s="32" t="s">
        <v>59</v>
      </c>
      <c r="B271" s="14"/>
      <c r="C271" s="15"/>
      <c r="D271" s="16"/>
      <c r="E271" s="14"/>
    </row>
    <row r="272" spans="1:7" s="17" customFormat="1" x14ac:dyDescent="0.2">
      <c r="A272" s="13" t="s">
        <v>41</v>
      </c>
      <c r="B272" s="14">
        <v>193.2</v>
      </c>
      <c r="C272" s="15">
        <v>0.2</v>
      </c>
      <c r="D272" s="16">
        <v>1</v>
      </c>
      <c r="E272" s="14">
        <f>((+B272*D272)*(1-C272))</f>
        <v>154.56</v>
      </c>
    </row>
    <row r="273" spans="1:5" s="17" customFormat="1" x14ac:dyDescent="0.2">
      <c r="A273" s="13" t="s">
        <v>13</v>
      </c>
      <c r="B273" s="14">
        <v>68</v>
      </c>
      <c r="C273" s="15"/>
      <c r="D273" s="16">
        <f>D272</f>
        <v>1</v>
      </c>
      <c r="E273" s="14">
        <f>((+B273*D273)*(1-C273))</f>
        <v>68</v>
      </c>
    </row>
    <row r="274" spans="1:5" s="17" customFormat="1" x14ac:dyDescent="0.2">
      <c r="A274" s="13"/>
      <c r="B274" s="14"/>
      <c r="C274" s="15"/>
      <c r="D274" s="16"/>
      <c r="E274" s="14"/>
    </row>
    <row r="275" spans="1:5" s="17" customFormat="1" x14ac:dyDescent="0.2">
      <c r="A275" s="32" t="s">
        <v>60</v>
      </c>
      <c r="B275" s="14" t="s">
        <v>47</v>
      </c>
      <c r="C275" s="15"/>
      <c r="D275" s="16"/>
      <c r="E275" s="14"/>
    </row>
    <row r="276" spans="1:5" s="17" customFormat="1" ht="17.45" customHeight="1" x14ac:dyDescent="0.2">
      <c r="A276" s="13" t="s">
        <v>49</v>
      </c>
      <c r="B276" s="14">
        <v>373.35</v>
      </c>
      <c r="C276" s="15"/>
      <c r="D276" s="16">
        <f>'Tabel import'!B19</f>
        <v>0</v>
      </c>
      <c r="E276" s="14">
        <v>0</v>
      </c>
    </row>
    <row r="277" spans="1:5" s="17" customFormat="1" x14ac:dyDescent="0.2">
      <c r="A277" s="13" t="s">
        <v>13</v>
      </c>
      <c r="B277" s="14">
        <v>91.438000000000002</v>
      </c>
      <c r="C277" s="15"/>
      <c r="D277" s="16">
        <f>D276</f>
        <v>0</v>
      </c>
      <c r="E277" s="14">
        <v>0</v>
      </c>
    </row>
    <row r="278" spans="1:5" s="17" customFormat="1" x14ac:dyDescent="0.2">
      <c r="A278" s="13" t="s">
        <v>50</v>
      </c>
      <c r="B278" s="14">
        <v>7.86</v>
      </c>
      <c r="C278" s="15"/>
      <c r="D278" s="16">
        <f>D276</f>
        <v>0</v>
      </c>
      <c r="E278" s="14">
        <v>0</v>
      </c>
    </row>
    <row r="279" spans="1:5" s="17" customFormat="1" x14ac:dyDescent="0.2">
      <c r="A279" s="13"/>
      <c r="B279" s="14" t="s">
        <v>47</v>
      </c>
      <c r="C279" s="15"/>
      <c r="D279" s="16"/>
      <c r="E279" s="14"/>
    </row>
    <row r="280" spans="1:5" s="17" customFormat="1" x14ac:dyDescent="0.2">
      <c r="A280" s="32" t="s">
        <v>61</v>
      </c>
      <c r="B280" s="14" t="s">
        <v>47</v>
      </c>
      <c r="C280" s="15"/>
      <c r="D280" s="16"/>
      <c r="E280" s="14"/>
    </row>
    <row r="281" spans="1:5" s="17" customFormat="1" x14ac:dyDescent="0.2">
      <c r="A281" s="13" t="s">
        <v>51</v>
      </c>
      <c r="B281" s="14">
        <v>224.01000000000002</v>
      </c>
      <c r="C281" s="15"/>
      <c r="D281" s="16">
        <f>'Tabel import'!B19</f>
        <v>0</v>
      </c>
      <c r="E281" s="14">
        <v>0</v>
      </c>
    </row>
    <row r="282" spans="1:5" s="17" customFormat="1" x14ac:dyDescent="0.2">
      <c r="A282" s="13" t="s">
        <v>13</v>
      </c>
      <c r="B282" s="14">
        <v>91.438000000000002</v>
      </c>
      <c r="C282" s="15"/>
      <c r="D282" s="16">
        <f>D281</f>
        <v>0</v>
      </c>
      <c r="E282" s="14">
        <v>0</v>
      </c>
    </row>
    <row r="283" spans="1:5" s="17" customFormat="1" x14ac:dyDescent="0.2">
      <c r="A283" s="13" t="s">
        <v>50</v>
      </c>
      <c r="B283" s="14">
        <v>7.86</v>
      </c>
      <c r="C283" s="15"/>
      <c r="D283" s="16">
        <f>D281</f>
        <v>0</v>
      </c>
      <c r="E283" s="14">
        <v>0</v>
      </c>
    </row>
    <row r="284" spans="1:5" s="17" customFormat="1" x14ac:dyDescent="0.2">
      <c r="A284" s="13"/>
      <c r="B284" s="14" t="s">
        <v>47</v>
      </c>
      <c r="C284" s="15"/>
      <c r="D284" s="16"/>
      <c r="E284" s="14"/>
    </row>
    <row r="285" spans="1:5" s="17" customFormat="1" x14ac:dyDescent="0.2">
      <c r="A285" s="43" t="s">
        <v>62</v>
      </c>
      <c r="B285" s="41" t="s">
        <v>47</v>
      </c>
      <c r="C285" s="48"/>
      <c r="D285" s="42"/>
      <c r="E285" s="14"/>
    </row>
    <row r="286" spans="1:5" s="17" customFormat="1" x14ac:dyDescent="0.2">
      <c r="A286" s="32" t="s">
        <v>52</v>
      </c>
      <c r="B286" s="14">
        <v>209.60000000000002</v>
      </c>
      <c r="C286" s="15"/>
      <c r="D286" s="16">
        <v>1</v>
      </c>
      <c r="E286" s="14">
        <v>209.60000000000002</v>
      </c>
    </row>
    <row r="287" spans="1:5" s="17" customFormat="1" x14ac:dyDescent="0.2">
      <c r="A287" s="13" t="s">
        <v>13</v>
      </c>
      <c r="B287" s="14">
        <v>94.320000000000007</v>
      </c>
      <c r="C287" s="15"/>
      <c r="D287" s="16">
        <f>D286</f>
        <v>1</v>
      </c>
      <c r="E287" s="14">
        <v>94.320000000000007</v>
      </c>
    </row>
    <row r="288" spans="1:5" s="17" customFormat="1" x14ac:dyDescent="0.2">
      <c r="A288" s="13" t="s">
        <v>50</v>
      </c>
      <c r="B288" s="14">
        <v>7.86</v>
      </c>
      <c r="C288" s="15"/>
      <c r="D288" s="16">
        <f>D286</f>
        <v>1</v>
      </c>
      <c r="E288" s="14">
        <v>7.86</v>
      </c>
    </row>
    <row r="289" spans="1:7" s="17" customFormat="1" x14ac:dyDescent="0.2">
      <c r="A289" s="13"/>
      <c r="B289" s="14" t="s">
        <v>47</v>
      </c>
      <c r="C289" s="15"/>
      <c r="D289" s="16"/>
      <c r="E289" s="14"/>
    </row>
    <row r="290" spans="1:7" s="17" customFormat="1" x14ac:dyDescent="0.2">
      <c r="A290" s="32" t="s">
        <v>63</v>
      </c>
      <c r="B290" s="14" t="s">
        <v>47</v>
      </c>
      <c r="C290" s="15"/>
      <c r="D290" s="16"/>
      <c r="E290" s="14"/>
    </row>
    <row r="291" spans="1:7" s="17" customFormat="1" x14ac:dyDescent="0.2">
      <c r="A291" s="13" t="s">
        <v>53</v>
      </c>
      <c r="B291" s="14">
        <v>102.70400000000001</v>
      </c>
      <c r="C291" s="15"/>
      <c r="D291" s="16">
        <v>1</v>
      </c>
      <c r="E291" s="14">
        <v>102.70400000000001</v>
      </c>
    </row>
    <row r="292" spans="1:7" s="17" customFormat="1" x14ac:dyDescent="0.2">
      <c r="A292" s="13" t="s">
        <v>13</v>
      </c>
      <c r="B292" s="14">
        <v>129</v>
      </c>
      <c r="C292" s="15"/>
      <c r="D292" s="16">
        <f>D291</f>
        <v>1</v>
      </c>
      <c r="E292" s="14">
        <f>((+B292*D292)*(1-C292))</f>
        <v>129</v>
      </c>
    </row>
    <row r="293" spans="1:7" s="10" customFormat="1" x14ac:dyDescent="0.2">
      <c r="A293" s="6"/>
      <c r="B293" s="37"/>
      <c r="C293" s="9"/>
      <c r="D293" s="7"/>
      <c r="E293" s="37"/>
      <c r="G293" s="17"/>
    </row>
    <row r="294" spans="1:7" s="10" customFormat="1" x14ac:dyDescent="0.2">
      <c r="A294" s="32" t="s">
        <v>64</v>
      </c>
      <c r="B294" s="37"/>
      <c r="C294" s="9"/>
      <c r="D294" s="7"/>
      <c r="E294" s="37"/>
      <c r="G294" s="17"/>
    </row>
    <row r="295" spans="1:7" s="17" customFormat="1" x14ac:dyDescent="0.2">
      <c r="A295" s="13" t="s">
        <v>39</v>
      </c>
      <c r="B295" s="14">
        <v>34.49</v>
      </c>
      <c r="C295" s="15">
        <v>0.2</v>
      </c>
      <c r="D295" s="16">
        <v>1</v>
      </c>
      <c r="E295" s="14">
        <f>((+B295*D295)*(1-C295))</f>
        <v>27.592000000000002</v>
      </c>
    </row>
    <row r="296" spans="1:7" s="17" customFormat="1" x14ac:dyDescent="0.2">
      <c r="A296" s="13" t="s">
        <v>40</v>
      </c>
      <c r="B296" s="14">
        <v>3.1440000000000001</v>
      </c>
      <c r="C296" s="15"/>
      <c r="D296" s="16">
        <f>D295</f>
        <v>1</v>
      </c>
      <c r="E296" s="14">
        <f>((+B296*D296)*(1-C296))</f>
        <v>3.1440000000000001</v>
      </c>
    </row>
    <row r="297" spans="1:7" s="17" customFormat="1" x14ac:dyDescent="0.2">
      <c r="A297" s="13" t="s">
        <v>13</v>
      </c>
      <c r="B297" s="14">
        <v>40</v>
      </c>
      <c r="C297" s="15"/>
      <c r="D297" s="16">
        <f>D295</f>
        <v>1</v>
      </c>
      <c r="E297" s="14">
        <f>((+B297*D297)*(1-C297))</f>
        <v>40</v>
      </c>
    </row>
    <row r="298" spans="1:7" s="17" customFormat="1" x14ac:dyDescent="0.2">
      <c r="A298" s="13"/>
      <c r="B298" s="14"/>
      <c r="C298" s="15"/>
      <c r="D298" s="16"/>
      <c r="E298" s="14"/>
    </row>
    <row r="299" spans="1:7" s="17" customFormat="1" x14ac:dyDescent="0.2">
      <c r="A299" s="32" t="s">
        <v>67</v>
      </c>
      <c r="B299" s="14"/>
      <c r="C299" s="35"/>
      <c r="D299" s="16"/>
      <c r="E299" s="14"/>
    </row>
    <row r="300" spans="1:7" s="17" customFormat="1" x14ac:dyDescent="0.2">
      <c r="A300" s="13" t="s">
        <v>65</v>
      </c>
      <c r="B300" s="14">
        <v>312</v>
      </c>
      <c r="C300" s="15">
        <v>0.2</v>
      </c>
      <c r="D300" s="16">
        <f>'Tabel import'!B24</f>
        <v>1</v>
      </c>
      <c r="E300" s="14">
        <f>((+B300*D300)*(1-C300))</f>
        <v>249.60000000000002</v>
      </c>
    </row>
    <row r="301" spans="1:7" s="17" customFormat="1" x14ac:dyDescent="0.2">
      <c r="A301" s="13" t="s">
        <v>13</v>
      </c>
      <c r="B301" s="14">
        <v>149</v>
      </c>
      <c r="C301" s="35"/>
      <c r="D301" s="16">
        <f>D300</f>
        <v>1</v>
      </c>
      <c r="E301" s="14">
        <f>((+B301*D301)*(1-C301))</f>
        <v>149</v>
      </c>
    </row>
    <row r="302" spans="1:7" s="17" customFormat="1" x14ac:dyDescent="0.2">
      <c r="A302" s="13"/>
      <c r="B302" s="14"/>
      <c r="C302" s="35"/>
      <c r="D302" s="16"/>
      <c r="E302" s="14"/>
    </row>
    <row r="303" spans="1:7" s="17" customFormat="1" x14ac:dyDescent="0.2">
      <c r="A303" s="32" t="s">
        <v>68</v>
      </c>
      <c r="B303" s="14"/>
      <c r="C303" s="35"/>
      <c r="D303" s="16"/>
      <c r="E303" s="14"/>
    </row>
    <row r="304" spans="1:7" s="17" customFormat="1" x14ac:dyDescent="0.2">
      <c r="A304" s="13" t="s">
        <v>66</v>
      </c>
      <c r="B304" s="14">
        <v>185</v>
      </c>
      <c r="C304" s="15">
        <v>0.2</v>
      </c>
      <c r="D304" s="16">
        <f>'Tabel import'!B25</f>
        <v>0</v>
      </c>
      <c r="E304" s="14">
        <f>((+B304*D304)*(1-C304))</f>
        <v>0</v>
      </c>
    </row>
    <row r="305" spans="1:11" s="17" customFormat="1" x14ac:dyDescent="0.2">
      <c r="A305" s="13" t="s">
        <v>13</v>
      </c>
      <c r="B305" s="14">
        <v>129</v>
      </c>
      <c r="C305" s="35"/>
      <c r="D305" s="16">
        <f>D304</f>
        <v>0</v>
      </c>
      <c r="E305" s="14">
        <f>((+B305*D305)*(1-C305))</f>
        <v>0</v>
      </c>
    </row>
    <row r="306" spans="1:11" s="17" customFormat="1" x14ac:dyDescent="0.2">
      <c r="A306" s="13"/>
      <c r="B306" s="14"/>
      <c r="C306" s="15"/>
      <c r="D306" s="16"/>
      <c r="E306" s="14"/>
    </row>
    <row r="307" spans="1:11" s="10" customFormat="1" x14ac:dyDescent="0.2">
      <c r="A307" s="33"/>
      <c r="B307" s="41"/>
      <c r="C307" s="48"/>
      <c r="D307" s="42"/>
      <c r="E307" s="37"/>
    </row>
    <row r="308" spans="1:11" s="10" customFormat="1" ht="3" customHeight="1" x14ac:dyDescent="0.2">
      <c r="A308" s="27"/>
      <c r="B308" s="28"/>
      <c r="C308" s="30"/>
      <c r="D308" s="28"/>
      <c r="E308" s="28"/>
    </row>
    <row r="309" spans="1:11" s="10" customFormat="1" x14ac:dyDescent="0.2">
      <c r="A309" s="6"/>
      <c r="B309" s="53"/>
      <c r="C309" s="9"/>
      <c r="D309" s="12"/>
      <c r="E309" s="52"/>
      <c r="F309" s="7"/>
      <c r="G309" s="12"/>
    </row>
    <row r="310" spans="1:11" customFormat="1" ht="13.9" customHeight="1" x14ac:dyDescent="0.25">
      <c r="A310" s="6"/>
      <c r="B310" s="53"/>
      <c r="C310" s="9"/>
      <c r="D310" s="12"/>
      <c r="E310" s="52"/>
      <c r="F310" s="7"/>
      <c r="G310" s="12"/>
      <c r="H310" s="54"/>
      <c r="I310" s="10"/>
      <c r="J310" s="55"/>
      <c r="K310" s="52"/>
    </row>
    <row r="311" spans="1:11" customFormat="1" ht="13.9" customHeight="1" x14ac:dyDescent="0.25">
      <c r="A311" s="56" t="s">
        <v>103</v>
      </c>
      <c r="B311" s="57"/>
      <c r="C311" s="58"/>
      <c r="D311" s="59"/>
      <c r="E311" s="62">
        <f>SUM(E21:E305)</f>
        <v>3354.63</v>
      </c>
      <c r="F311" s="61"/>
      <c r="G311" s="26"/>
      <c r="H311" s="54"/>
      <c r="I311" s="10"/>
      <c r="J311" s="55"/>
      <c r="K311" s="52"/>
    </row>
    <row r="312" spans="1:11" customFormat="1" ht="13.9" customHeight="1" x14ac:dyDescent="0.25">
      <c r="A312" s="66"/>
      <c r="B312" s="67"/>
      <c r="C312" s="68"/>
      <c r="D312" s="69"/>
      <c r="E312" s="67"/>
      <c r="F312" s="70"/>
      <c r="G312" s="71"/>
      <c r="H312" s="63"/>
      <c r="I312" s="64"/>
      <c r="J312" s="65"/>
      <c r="K312" s="60"/>
    </row>
    <row r="313" spans="1:11" customFormat="1" ht="13.9" customHeight="1" x14ac:dyDescent="0.25">
      <c r="A313" s="56"/>
      <c r="B313" s="65"/>
      <c r="C313" s="58"/>
      <c r="D313" s="59"/>
      <c r="E313" s="60"/>
      <c r="F313" s="61"/>
      <c r="G313" s="62"/>
      <c r="H313" s="63"/>
      <c r="I313" s="64"/>
      <c r="J313" s="65"/>
      <c r="K313" s="60"/>
    </row>
    <row r="314" spans="1:11" customFormat="1" ht="13.9" customHeight="1" x14ac:dyDescent="0.25">
      <c r="A314" s="56" t="s">
        <v>104</v>
      </c>
      <c r="B314" s="57"/>
      <c r="C314" s="58"/>
      <c r="D314" s="59"/>
      <c r="E314" s="72">
        <f>IF(ISERROR((E311-G312)),"", (E311-G312))</f>
        <v>3354.63</v>
      </c>
      <c r="F314" s="61"/>
      <c r="G314" s="26"/>
      <c r="H314" s="63"/>
      <c r="I314" s="64"/>
      <c r="J314" s="65"/>
      <c r="K314" s="60"/>
    </row>
    <row r="315" spans="1:11" customFormat="1" ht="13.9" customHeight="1" x14ac:dyDescent="0.25">
      <c r="A315" s="56"/>
      <c r="B315" s="57"/>
      <c r="C315" s="58"/>
      <c r="D315" s="59"/>
      <c r="E315" s="60"/>
      <c r="F315" s="61"/>
      <c r="G315" s="72"/>
      <c r="H315" s="63"/>
      <c r="I315" s="64"/>
      <c r="J315" s="65"/>
      <c r="K315" s="60"/>
    </row>
    <row r="316" spans="1:11" customFormat="1" ht="13.9" customHeight="1" x14ac:dyDescent="0.25">
      <c r="A316" s="10"/>
      <c r="B316" s="73"/>
      <c r="C316" s="74"/>
      <c r="D316" s="12"/>
      <c r="E316" s="52"/>
      <c r="F316" s="7"/>
      <c r="G316" s="12"/>
      <c r="H316" s="54"/>
      <c r="I316" s="10"/>
      <c r="J316" s="55"/>
      <c r="K316" s="52"/>
    </row>
    <row r="317" spans="1:11" customFormat="1" ht="13.9" customHeight="1" x14ac:dyDescent="0.25">
      <c r="A317" s="74"/>
      <c r="B317" s="75"/>
      <c r="C317" s="74"/>
      <c r="D317" s="76"/>
      <c r="E317" s="77"/>
      <c r="F317" s="78"/>
      <c r="G317" s="76"/>
      <c r="H317" s="79"/>
      <c r="I317" s="74"/>
      <c r="J317" s="80"/>
      <c r="K317" s="77"/>
    </row>
  </sheetData>
  <sheetProtection formatCells="0" formatColumns="0" formatRows="0" insertColumns="0" insertRows="0" deleteColumns="0" deleteRows="0" selectLockedCells="1"/>
  <pageMargins left="0.47244094488188981" right="0.47244094488188981" top="0.9055118110236221" bottom="0.98425196850393704" header="0.51181102362204722" footer="0.51181102362204722"/>
  <pageSetup paperSize="9" scale="70" fitToHeight="2" orientation="landscape" r:id="rId1"/>
  <headerFooter alignWithMargins="0">
    <oddFooter>&amp;L&amp;10Alphatron Security BV&amp;C&amp;10&amp;F&amp;R&amp;10Pagina &amp;P van &amp;N</oddFooter>
  </headerFooter>
  <ignoredErrors>
    <ignoredError sqref="E311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371DB-5AA9-47BB-9B1F-B62D3B5E429E}">
  <sheetPr codeName="Sheet1"/>
  <dimension ref="A2:F53"/>
  <sheetViews>
    <sheetView topLeftCell="A23" workbookViewId="0">
      <selection activeCell="A50" sqref="A50"/>
    </sheetView>
  </sheetViews>
  <sheetFormatPr defaultRowHeight="15" x14ac:dyDescent="0.25"/>
  <cols>
    <col min="1" max="1" width="32.7109375" bestFit="1" customWidth="1"/>
    <col min="2" max="2" width="15.85546875" bestFit="1" customWidth="1"/>
    <col min="3" max="3" width="17.5703125" bestFit="1" customWidth="1"/>
    <col min="4" max="4" width="91.5703125" bestFit="1" customWidth="1"/>
    <col min="5" max="5" width="7.5703125" bestFit="1" customWidth="1"/>
    <col min="6" max="6" width="16.28515625" bestFit="1" customWidth="1"/>
  </cols>
  <sheetData>
    <row r="2" spans="1:4" x14ac:dyDescent="0.25">
      <c r="A2" s="81" t="s">
        <v>105</v>
      </c>
      <c r="B2" s="81" t="s">
        <v>5</v>
      </c>
    </row>
    <row r="3" spans="1:4" x14ac:dyDescent="0.25">
      <c r="A3" t="s">
        <v>106</v>
      </c>
      <c r="B3">
        <v>2</v>
      </c>
    </row>
    <row r="4" spans="1:4" x14ac:dyDescent="0.25">
      <c r="A4" t="s">
        <v>107</v>
      </c>
    </row>
    <row r="5" spans="1:4" x14ac:dyDescent="0.25">
      <c r="A5" t="s">
        <v>157</v>
      </c>
    </row>
    <row r="7" spans="1:4" x14ac:dyDescent="0.25">
      <c r="A7" s="81" t="s">
        <v>108</v>
      </c>
      <c r="B7" s="81" t="s">
        <v>5</v>
      </c>
    </row>
    <row r="8" spans="1:4" x14ac:dyDescent="0.25">
      <c r="A8" t="s">
        <v>109</v>
      </c>
    </row>
    <row r="9" spans="1:4" x14ac:dyDescent="0.25">
      <c r="A9" t="s">
        <v>110</v>
      </c>
    </row>
    <row r="10" spans="1:4" x14ac:dyDescent="0.25">
      <c r="A10" t="s">
        <v>111</v>
      </c>
    </row>
    <row r="12" spans="1:4" x14ac:dyDescent="0.25">
      <c r="A12" s="81" t="s">
        <v>112</v>
      </c>
      <c r="B12" s="81" t="s">
        <v>5</v>
      </c>
    </row>
    <row r="13" spans="1:4" x14ac:dyDescent="0.25">
      <c r="A13" s="83" t="s">
        <v>158</v>
      </c>
      <c r="B13" s="81"/>
    </row>
    <row r="14" spans="1:4" x14ac:dyDescent="0.25">
      <c r="A14" t="s">
        <v>113</v>
      </c>
      <c r="B14">
        <v>1</v>
      </c>
    </row>
    <row r="15" spans="1:4" x14ac:dyDescent="0.25">
      <c r="A15" t="s">
        <v>114</v>
      </c>
    </row>
    <row r="16" spans="1:4" x14ac:dyDescent="0.25">
      <c r="A16" t="s">
        <v>115</v>
      </c>
      <c r="D16" t="s">
        <v>116</v>
      </c>
    </row>
    <row r="17" spans="1:6" x14ac:dyDescent="0.25">
      <c r="D17" s="82" t="s">
        <v>117</v>
      </c>
    </row>
    <row r="18" spans="1:6" x14ac:dyDescent="0.25">
      <c r="A18" s="81" t="s">
        <v>118</v>
      </c>
      <c r="B18" s="81" t="s">
        <v>5</v>
      </c>
    </row>
    <row r="19" spans="1:6" x14ac:dyDescent="0.25">
      <c r="A19" t="s">
        <v>119</v>
      </c>
    </row>
    <row r="20" spans="1:6" x14ac:dyDescent="0.25">
      <c r="A20" t="s">
        <v>120</v>
      </c>
    </row>
    <row r="21" spans="1:6" x14ac:dyDescent="0.25">
      <c r="A21" t="s">
        <v>121</v>
      </c>
    </row>
    <row r="23" spans="1:6" x14ac:dyDescent="0.25">
      <c r="A23" s="81" t="s">
        <v>122</v>
      </c>
      <c r="B23" s="81" t="s">
        <v>5</v>
      </c>
    </row>
    <row r="24" spans="1:6" x14ac:dyDescent="0.25">
      <c r="A24" t="s">
        <v>123</v>
      </c>
      <c r="B24">
        <v>1</v>
      </c>
    </row>
    <row r="25" spans="1:6" x14ac:dyDescent="0.25">
      <c r="A25" t="s">
        <v>124</v>
      </c>
    </row>
    <row r="27" spans="1:6" x14ac:dyDescent="0.25">
      <c r="A27" s="81" t="s">
        <v>125</v>
      </c>
      <c r="B27" s="81" t="s">
        <v>126</v>
      </c>
      <c r="C27" s="81" t="s">
        <v>127</v>
      </c>
      <c r="D27" s="81" t="s">
        <v>156</v>
      </c>
      <c r="E27" s="81" t="s">
        <v>128</v>
      </c>
      <c r="F27" s="81" t="s">
        <v>129</v>
      </c>
    </row>
    <row r="28" spans="1:6" x14ac:dyDescent="0.25">
      <c r="A28" t="s">
        <v>130</v>
      </c>
      <c r="B28">
        <v>10</v>
      </c>
    </row>
    <row r="29" spans="1:6" x14ac:dyDescent="0.25">
      <c r="A29" t="s">
        <v>131</v>
      </c>
      <c r="B29">
        <v>5</v>
      </c>
    </row>
    <row r="30" spans="1:6" x14ac:dyDescent="0.25">
      <c r="A30" t="s">
        <v>132</v>
      </c>
    </row>
    <row r="31" spans="1:6" x14ac:dyDescent="0.25">
      <c r="A31" t="s">
        <v>133</v>
      </c>
    </row>
    <row r="32" spans="1:6" x14ac:dyDescent="0.25">
      <c r="A32" t="s">
        <v>134</v>
      </c>
    </row>
    <row r="33" spans="1:1" x14ac:dyDescent="0.25">
      <c r="A33" t="s">
        <v>135</v>
      </c>
    </row>
    <row r="34" spans="1:1" x14ac:dyDescent="0.25">
      <c r="A34" t="s">
        <v>136</v>
      </c>
    </row>
    <row r="35" spans="1:1" x14ac:dyDescent="0.25">
      <c r="A35" t="s">
        <v>137</v>
      </c>
    </row>
    <row r="36" spans="1:1" x14ac:dyDescent="0.25">
      <c r="A36" t="s">
        <v>138</v>
      </c>
    </row>
    <row r="37" spans="1:1" x14ac:dyDescent="0.25">
      <c r="A37" t="s">
        <v>139</v>
      </c>
    </row>
    <row r="38" spans="1:1" x14ac:dyDescent="0.25">
      <c r="A38" t="s">
        <v>140</v>
      </c>
    </row>
    <row r="39" spans="1:1" x14ac:dyDescent="0.25">
      <c r="A39" t="s">
        <v>141</v>
      </c>
    </row>
    <row r="40" spans="1:1" x14ac:dyDescent="0.25">
      <c r="A40" t="s">
        <v>142</v>
      </c>
    </row>
    <row r="41" spans="1:1" x14ac:dyDescent="0.25">
      <c r="A41" t="s">
        <v>143</v>
      </c>
    </row>
    <row r="42" spans="1:1" x14ac:dyDescent="0.25">
      <c r="A42" t="s">
        <v>144</v>
      </c>
    </row>
    <row r="43" spans="1:1" x14ac:dyDescent="0.25">
      <c r="A43" t="s">
        <v>145</v>
      </c>
    </row>
    <row r="44" spans="1:1" x14ac:dyDescent="0.25">
      <c r="A44" t="s">
        <v>146</v>
      </c>
    </row>
    <row r="45" spans="1:1" x14ac:dyDescent="0.25">
      <c r="A45" t="s">
        <v>147</v>
      </c>
    </row>
    <row r="46" spans="1:1" x14ac:dyDescent="0.25">
      <c r="A46" t="s">
        <v>148</v>
      </c>
    </row>
    <row r="47" spans="1:1" x14ac:dyDescent="0.25">
      <c r="A47" t="s">
        <v>149</v>
      </c>
    </row>
    <row r="49" spans="1:4" x14ac:dyDescent="0.25">
      <c r="A49" s="81" t="s">
        <v>150</v>
      </c>
      <c r="B49" s="81" t="s">
        <v>5</v>
      </c>
      <c r="D49" t="s">
        <v>151</v>
      </c>
    </row>
    <row r="50" spans="1:4" x14ac:dyDescent="0.25">
      <c r="A50" t="s">
        <v>152</v>
      </c>
    </row>
    <row r="51" spans="1:4" x14ac:dyDescent="0.25">
      <c r="A51" t="s">
        <v>153</v>
      </c>
    </row>
    <row r="52" spans="1:4" x14ac:dyDescent="0.25">
      <c r="A52" t="s">
        <v>154</v>
      </c>
    </row>
    <row r="53" spans="1:4" x14ac:dyDescent="0.25">
      <c r="A53" t="s">
        <v>155</v>
      </c>
    </row>
  </sheetData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Prijzenboek Eigen Haard</vt:lpstr>
      <vt:lpstr>Tabel import</vt:lpstr>
      <vt:lpstr>'Prijzenboek Eigen Haard'!Print_Area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Remko Bischoff</dc:creator>
  <cp:lastModifiedBy>Danny de Jong</cp:lastModifiedBy>
  <cp:lastPrinted>2024-09-11T13:24:47Z</cp:lastPrinted>
  <dcterms:created xsi:type="dcterms:W3CDTF">2008-10-06T12:21:50Z</dcterms:created>
  <dcterms:modified xsi:type="dcterms:W3CDTF">2026-07-29T09:05:35Z</dcterms:modified>
</cp:coreProperties>
</file>